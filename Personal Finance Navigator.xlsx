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C996A7D5-A6F5-48DA-8962-B908BB15B606}" xr6:coauthVersionLast="47" xr6:coauthVersionMax="47" xr10:uidLastSave="{00000000-0000-0000-0000-000000000000}"/>
  <bookViews>
    <workbookView xWindow="-120" yWindow="-120" windowWidth="29040" windowHeight="16440" activeTab="1" xr2:uid="{00000000-000D-0000-FFFF-FFFF00000000}"/>
  </bookViews>
  <sheets>
    <sheet name="Dataset" sheetId="1" r:id="rId1"/>
    <sheet name="Dashboard" sheetId="2" r:id="rId2"/>
    <sheet name="Calculation" sheetId="3" state="hidden" r:id="rId3"/>
  </sheets>
  <definedNames>
    <definedName name="Balance">Calculation!$D$11</definedName>
    <definedName name="Cash_loan">Calculation!$C$31</definedName>
    <definedName name="Clothes">Calculation!$C$29</definedName>
    <definedName name="datawithdecision">Calculation!$C$17</definedName>
    <definedName name="Entertainment">Calculation!$C$30</definedName>
    <definedName name="Grand_Total">Calculation!$C$20</definedName>
    <definedName name="Groceries">Calculation!$C$28</definedName>
    <definedName name="Income">Calculation!$C$11</definedName>
    <definedName name="Max_of_credit">Calculation!$F$11</definedName>
    <definedName name="Max_of_debit">Calculation!$E$11</definedName>
    <definedName name="_xlnm.Print_Area" localSheetId="1">Dashboard!$AM$23</definedName>
    <definedName name="Rent">Calculation!$C$27</definedName>
    <definedName name="Slicer_Month_Name">#N/A</definedName>
    <definedName name="Spending">Calculation!$B$11</definedName>
    <definedName name="teachable">Calculation!$C$19</definedName>
    <definedName name="youtube">Calculation!$C$18</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3" l="1"/>
  <c r="G6" i="3"/>
  <c r="G5" i="3"/>
  <c r="O266" i="1"/>
  <c r="N266" i="1"/>
  <c r="M266" i="1"/>
  <c r="L266" i="1"/>
  <c r="O235" i="1"/>
  <c r="N235" i="1"/>
  <c r="M235" i="1"/>
  <c r="L235" i="1"/>
  <c r="O72" i="1"/>
  <c r="N72" i="1"/>
  <c r="M72" i="1"/>
  <c r="L72" i="1"/>
  <c r="O46" i="1"/>
  <c r="N46" i="1"/>
  <c r="M46" i="1"/>
  <c r="L46" i="1"/>
  <c r="O104" i="1"/>
  <c r="N104" i="1"/>
  <c r="M104" i="1"/>
  <c r="L104" i="1"/>
  <c r="O45" i="1"/>
  <c r="N45" i="1"/>
  <c r="M45" i="1"/>
  <c r="L45" i="1"/>
  <c r="O492" i="1"/>
  <c r="N492" i="1"/>
  <c r="M492" i="1"/>
  <c r="L492" i="1"/>
  <c r="O491" i="1"/>
  <c r="N491" i="1"/>
  <c r="M491" i="1"/>
  <c r="L491" i="1"/>
  <c r="O490" i="1"/>
  <c r="N490" i="1"/>
  <c r="M490" i="1"/>
  <c r="L490" i="1"/>
  <c r="O489" i="1"/>
  <c r="N489" i="1"/>
  <c r="M489" i="1"/>
  <c r="L489" i="1"/>
  <c r="O488" i="1"/>
  <c r="N488" i="1"/>
  <c r="M488" i="1"/>
  <c r="L488" i="1"/>
  <c r="O141" i="1"/>
  <c r="N141" i="1"/>
  <c r="M141" i="1"/>
  <c r="L141" i="1"/>
  <c r="O171" i="1"/>
  <c r="N171" i="1"/>
  <c r="M171" i="1"/>
  <c r="L171" i="1"/>
  <c r="O251" i="1"/>
  <c r="N251" i="1"/>
  <c r="M251" i="1"/>
  <c r="L251" i="1"/>
  <c r="O192" i="1"/>
  <c r="N192" i="1"/>
  <c r="M192" i="1"/>
  <c r="L192" i="1"/>
  <c r="O51" i="1"/>
  <c r="N51" i="1"/>
  <c r="M51" i="1"/>
  <c r="L51" i="1"/>
  <c r="O487" i="1"/>
  <c r="N487" i="1"/>
  <c r="M487" i="1"/>
  <c r="L487" i="1"/>
  <c r="O486" i="1"/>
  <c r="N486" i="1"/>
  <c r="M486" i="1"/>
  <c r="L486" i="1"/>
  <c r="O485" i="1"/>
  <c r="N485" i="1"/>
  <c r="M485" i="1"/>
  <c r="L485" i="1"/>
  <c r="O232" i="1"/>
  <c r="N232" i="1"/>
  <c r="M232" i="1"/>
  <c r="L232" i="1"/>
  <c r="O174" i="1"/>
  <c r="N174" i="1"/>
  <c r="M174" i="1"/>
  <c r="L174" i="1"/>
  <c r="O217" i="1"/>
  <c r="N217" i="1"/>
  <c r="M217" i="1"/>
  <c r="L217" i="1"/>
  <c r="O140" i="1"/>
  <c r="N140" i="1"/>
  <c r="M140" i="1"/>
  <c r="L140" i="1"/>
  <c r="O484" i="1"/>
  <c r="N484" i="1"/>
  <c r="M484" i="1"/>
  <c r="L484" i="1"/>
  <c r="O483" i="1"/>
  <c r="N483" i="1"/>
  <c r="M483" i="1"/>
  <c r="L483" i="1"/>
  <c r="O27" i="1"/>
  <c r="N27" i="1"/>
  <c r="M27" i="1"/>
  <c r="L27" i="1"/>
  <c r="O220" i="1"/>
  <c r="N220" i="1"/>
  <c r="M220" i="1"/>
  <c r="L220" i="1"/>
  <c r="O151" i="1"/>
  <c r="N151" i="1"/>
  <c r="M151" i="1"/>
  <c r="L151" i="1"/>
  <c r="O116" i="1"/>
  <c r="N116" i="1"/>
  <c r="M116" i="1"/>
  <c r="L116" i="1"/>
  <c r="O187" i="1"/>
  <c r="N187" i="1"/>
  <c r="M187" i="1"/>
  <c r="L187" i="1"/>
  <c r="O482" i="1"/>
  <c r="N482" i="1"/>
  <c r="M482" i="1"/>
  <c r="L482" i="1"/>
  <c r="O481" i="1"/>
  <c r="N481" i="1"/>
  <c r="M481" i="1"/>
  <c r="L481" i="1"/>
  <c r="O93" i="1"/>
  <c r="N93" i="1"/>
  <c r="M93" i="1"/>
  <c r="L93" i="1"/>
  <c r="O480" i="1"/>
  <c r="N480" i="1"/>
  <c r="M480" i="1"/>
  <c r="L480" i="1"/>
  <c r="O479" i="1"/>
  <c r="N479" i="1"/>
  <c r="M479" i="1"/>
  <c r="L479" i="1"/>
  <c r="O128" i="1"/>
  <c r="N128" i="1"/>
  <c r="M128" i="1"/>
  <c r="L128" i="1"/>
  <c r="O478" i="1"/>
  <c r="N478" i="1"/>
  <c r="M478" i="1"/>
  <c r="L478" i="1"/>
  <c r="O477" i="1"/>
  <c r="N477" i="1"/>
  <c r="M477" i="1"/>
  <c r="L477" i="1"/>
  <c r="O154" i="1"/>
  <c r="N154" i="1"/>
  <c r="M154" i="1"/>
  <c r="L154" i="1"/>
  <c r="O118" i="1"/>
  <c r="N118" i="1"/>
  <c r="M118" i="1"/>
  <c r="L118" i="1"/>
  <c r="O476" i="1"/>
  <c r="N476" i="1"/>
  <c r="M476" i="1"/>
  <c r="L476" i="1"/>
  <c r="O475" i="1"/>
  <c r="N475" i="1"/>
  <c r="M475" i="1"/>
  <c r="L475" i="1"/>
  <c r="O474" i="1"/>
  <c r="N474" i="1"/>
  <c r="M474" i="1"/>
  <c r="L474" i="1"/>
  <c r="O473" i="1"/>
  <c r="N473" i="1"/>
  <c r="M473" i="1"/>
  <c r="L473" i="1"/>
  <c r="O86" i="1"/>
  <c r="N86" i="1"/>
  <c r="M86" i="1"/>
  <c r="L86" i="1"/>
  <c r="O37" i="1"/>
  <c r="N37" i="1"/>
  <c r="M37" i="1"/>
  <c r="L37" i="1"/>
  <c r="O472" i="1"/>
  <c r="N472" i="1"/>
  <c r="M472" i="1"/>
  <c r="L472" i="1"/>
  <c r="O16" i="1"/>
  <c r="N16" i="1"/>
  <c r="M16" i="1"/>
  <c r="L16" i="1"/>
  <c r="O471" i="1"/>
  <c r="N471" i="1"/>
  <c r="M471" i="1"/>
  <c r="L471" i="1"/>
  <c r="O470" i="1"/>
  <c r="N470" i="1"/>
  <c r="M470" i="1"/>
  <c r="L470" i="1"/>
  <c r="O265" i="1"/>
  <c r="N265" i="1"/>
  <c r="M265" i="1"/>
  <c r="L265" i="1"/>
  <c r="O238" i="1"/>
  <c r="N238" i="1"/>
  <c r="M238" i="1"/>
  <c r="L238" i="1"/>
  <c r="O73" i="1"/>
  <c r="N73" i="1"/>
  <c r="M73" i="1"/>
  <c r="L73" i="1"/>
  <c r="O57" i="1"/>
  <c r="N57" i="1"/>
  <c r="M57" i="1"/>
  <c r="L57" i="1"/>
  <c r="O105" i="1"/>
  <c r="N105" i="1"/>
  <c r="M105" i="1"/>
  <c r="L105" i="1"/>
  <c r="O41" i="1"/>
  <c r="N41" i="1"/>
  <c r="M41" i="1"/>
  <c r="L41" i="1"/>
  <c r="O469" i="1"/>
  <c r="N469" i="1"/>
  <c r="M469" i="1"/>
  <c r="L469" i="1"/>
  <c r="O468" i="1"/>
  <c r="N468" i="1"/>
  <c r="M468" i="1"/>
  <c r="L468" i="1"/>
  <c r="O467" i="1"/>
  <c r="N467" i="1"/>
  <c r="M467" i="1"/>
  <c r="L467" i="1"/>
  <c r="O466" i="1"/>
  <c r="N466" i="1"/>
  <c r="M466" i="1"/>
  <c r="L466" i="1"/>
  <c r="O465" i="1"/>
  <c r="N465" i="1"/>
  <c r="M465" i="1"/>
  <c r="L465" i="1"/>
  <c r="O142" i="1"/>
  <c r="N142" i="1"/>
  <c r="M142" i="1"/>
  <c r="L142" i="1"/>
  <c r="O170" i="1"/>
  <c r="N170" i="1"/>
  <c r="M170" i="1"/>
  <c r="L170" i="1"/>
  <c r="O252" i="1"/>
  <c r="N252" i="1"/>
  <c r="M252" i="1"/>
  <c r="L252" i="1"/>
  <c r="O195" i="1"/>
  <c r="N195" i="1"/>
  <c r="M195" i="1"/>
  <c r="L195" i="1"/>
  <c r="O52" i="1"/>
  <c r="N52" i="1"/>
  <c r="M52" i="1"/>
  <c r="L52" i="1"/>
  <c r="O464" i="1"/>
  <c r="N464" i="1"/>
  <c r="M464" i="1"/>
  <c r="L464" i="1"/>
  <c r="O463" i="1"/>
  <c r="N463" i="1"/>
  <c r="M463" i="1"/>
  <c r="L463" i="1"/>
  <c r="O462" i="1"/>
  <c r="N462" i="1"/>
  <c r="M462" i="1"/>
  <c r="L462" i="1"/>
  <c r="O231" i="1"/>
  <c r="N231" i="1"/>
  <c r="M231" i="1"/>
  <c r="L231" i="1"/>
  <c r="O178" i="1"/>
  <c r="N178" i="1"/>
  <c r="M178" i="1"/>
  <c r="L178" i="1"/>
  <c r="O216" i="1"/>
  <c r="N216" i="1"/>
  <c r="M216" i="1"/>
  <c r="L216" i="1"/>
  <c r="O461" i="1"/>
  <c r="N461" i="1"/>
  <c r="M461" i="1"/>
  <c r="L461" i="1"/>
  <c r="O460" i="1"/>
  <c r="N460" i="1"/>
  <c r="M460" i="1"/>
  <c r="L460" i="1"/>
  <c r="O26" i="1"/>
  <c r="N26" i="1"/>
  <c r="M26" i="1"/>
  <c r="L26" i="1"/>
  <c r="O222" i="1"/>
  <c r="N222" i="1"/>
  <c r="M222" i="1"/>
  <c r="L222" i="1"/>
  <c r="O152" i="1"/>
  <c r="N152" i="1"/>
  <c r="M152" i="1"/>
  <c r="L152" i="1"/>
  <c r="O117" i="1"/>
  <c r="N117" i="1"/>
  <c r="M117" i="1"/>
  <c r="L117" i="1"/>
  <c r="O189" i="1"/>
  <c r="N189" i="1"/>
  <c r="M189" i="1"/>
  <c r="L189" i="1"/>
  <c r="O459" i="1"/>
  <c r="N459" i="1"/>
  <c r="M459" i="1"/>
  <c r="L459" i="1"/>
  <c r="O458" i="1"/>
  <c r="N458" i="1"/>
  <c r="M458" i="1"/>
  <c r="L458" i="1"/>
  <c r="O94" i="1"/>
  <c r="N94" i="1"/>
  <c r="M94" i="1"/>
  <c r="L94" i="1"/>
  <c r="O457" i="1"/>
  <c r="N457" i="1"/>
  <c r="M457" i="1"/>
  <c r="L457" i="1"/>
  <c r="O456" i="1"/>
  <c r="N456" i="1"/>
  <c r="M456" i="1"/>
  <c r="L456" i="1"/>
  <c r="O129" i="1"/>
  <c r="N129" i="1"/>
  <c r="M129" i="1"/>
  <c r="L129" i="1"/>
  <c r="O455" i="1"/>
  <c r="N455" i="1"/>
  <c r="M455" i="1"/>
  <c r="L455" i="1"/>
  <c r="O454" i="1"/>
  <c r="N454" i="1"/>
  <c r="M454" i="1"/>
  <c r="L454" i="1"/>
  <c r="O155" i="1"/>
  <c r="N155" i="1"/>
  <c r="M155" i="1"/>
  <c r="L155" i="1"/>
  <c r="O67" i="1"/>
  <c r="N67" i="1"/>
  <c r="M67" i="1"/>
  <c r="L67" i="1"/>
  <c r="O453" i="1"/>
  <c r="N453" i="1"/>
  <c r="M453" i="1"/>
  <c r="L453" i="1"/>
  <c r="O452" i="1"/>
  <c r="N452" i="1"/>
  <c r="M452" i="1"/>
  <c r="L452" i="1"/>
  <c r="O451" i="1"/>
  <c r="N451" i="1"/>
  <c r="M451" i="1"/>
  <c r="L451" i="1"/>
  <c r="O450" i="1"/>
  <c r="N450" i="1"/>
  <c r="M450" i="1"/>
  <c r="L450" i="1"/>
  <c r="O85" i="1"/>
  <c r="N85" i="1"/>
  <c r="M85" i="1"/>
  <c r="L85" i="1"/>
  <c r="O36" i="1"/>
  <c r="N36" i="1"/>
  <c r="M36" i="1"/>
  <c r="L36" i="1"/>
  <c r="O449" i="1"/>
  <c r="N449" i="1"/>
  <c r="M449" i="1"/>
  <c r="L449" i="1"/>
  <c r="O15" i="1"/>
  <c r="N15" i="1"/>
  <c r="M15" i="1"/>
  <c r="L15" i="1"/>
  <c r="O448" i="1"/>
  <c r="N448" i="1"/>
  <c r="M448" i="1"/>
  <c r="L448" i="1"/>
  <c r="O447" i="1"/>
  <c r="N447" i="1"/>
  <c r="M447" i="1"/>
  <c r="L447" i="1"/>
  <c r="O264" i="1"/>
  <c r="N264" i="1"/>
  <c r="M264" i="1"/>
  <c r="L264" i="1"/>
  <c r="O240" i="1"/>
  <c r="N240" i="1"/>
  <c r="M240" i="1"/>
  <c r="L240" i="1"/>
  <c r="O74" i="1"/>
  <c r="N74" i="1"/>
  <c r="M74" i="1"/>
  <c r="L74" i="1"/>
  <c r="O47" i="1"/>
  <c r="N47" i="1"/>
  <c r="M47" i="1"/>
  <c r="L47" i="1"/>
  <c r="O106" i="1"/>
  <c r="N106" i="1"/>
  <c r="M106" i="1"/>
  <c r="L106" i="1"/>
  <c r="O115" i="1"/>
  <c r="N115" i="1"/>
  <c r="M115" i="1"/>
  <c r="L115" i="1"/>
  <c r="O446" i="1"/>
  <c r="N446" i="1"/>
  <c r="M446" i="1"/>
  <c r="L446" i="1"/>
  <c r="O445" i="1"/>
  <c r="N445" i="1"/>
  <c r="M445" i="1"/>
  <c r="L445" i="1"/>
  <c r="O444" i="1"/>
  <c r="N444" i="1"/>
  <c r="M444" i="1"/>
  <c r="L444" i="1"/>
  <c r="O443" i="1"/>
  <c r="N443" i="1"/>
  <c r="M443" i="1"/>
  <c r="L443" i="1"/>
  <c r="O442" i="1"/>
  <c r="N442" i="1"/>
  <c r="M442" i="1"/>
  <c r="L442" i="1"/>
  <c r="O143" i="1"/>
  <c r="N143" i="1"/>
  <c r="M143" i="1"/>
  <c r="L143" i="1"/>
  <c r="O169" i="1"/>
  <c r="N169" i="1"/>
  <c r="M169" i="1"/>
  <c r="L169" i="1"/>
  <c r="O253" i="1"/>
  <c r="N253" i="1"/>
  <c r="M253" i="1"/>
  <c r="L253" i="1"/>
  <c r="O198" i="1"/>
  <c r="N198" i="1"/>
  <c r="M198" i="1"/>
  <c r="L198" i="1"/>
  <c r="O54" i="1"/>
  <c r="N54" i="1"/>
  <c r="M54" i="1"/>
  <c r="L54" i="1"/>
  <c r="O441" i="1"/>
  <c r="N441" i="1"/>
  <c r="M441" i="1"/>
  <c r="L441" i="1"/>
  <c r="O440" i="1"/>
  <c r="N440" i="1"/>
  <c r="M440" i="1"/>
  <c r="L440" i="1"/>
  <c r="O439" i="1"/>
  <c r="N439" i="1"/>
  <c r="M439" i="1"/>
  <c r="L439" i="1"/>
  <c r="O230" i="1"/>
  <c r="N230" i="1"/>
  <c r="M230" i="1"/>
  <c r="L230" i="1"/>
  <c r="O180" i="1"/>
  <c r="N180" i="1"/>
  <c r="M180" i="1"/>
  <c r="L180" i="1"/>
  <c r="O215" i="1"/>
  <c r="N215" i="1"/>
  <c r="M215" i="1"/>
  <c r="L215" i="1"/>
  <c r="O438" i="1"/>
  <c r="N438" i="1"/>
  <c r="M438" i="1"/>
  <c r="L438" i="1"/>
  <c r="O437" i="1"/>
  <c r="N437" i="1"/>
  <c r="M437" i="1"/>
  <c r="L437" i="1"/>
  <c r="O23" i="1"/>
  <c r="N23" i="1"/>
  <c r="M23" i="1"/>
  <c r="L23" i="1"/>
  <c r="O223" i="1"/>
  <c r="N223" i="1"/>
  <c r="M223" i="1"/>
  <c r="L223" i="1"/>
  <c r="O153" i="1"/>
  <c r="N153" i="1"/>
  <c r="M153" i="1"/>
  <c r="L153" i="1"/>
  <c r="O119" i="1"/>
  <c r="N119" i="1"/>
  <c r="M119" i="1"/>
  <c r="L119" i="1"/>
  <c r="O191" i="1"/>
  <c r="N191" i="1"/>
  <c r="M191" i="1"/>
  <c r="L191" i="1"/>
  <c r="O436" i="1"/>
  <c r="N436" i="1"/>
  <c r="M436" i="1"/>
  <c r="L436" i="1"/>
  <c r="O435" i="1"/>
  <c r="N435" i="1"/>
  <c r="M435" i="1"/>
  <c r="L435" i="1"/>
  <c r="O95" i="1"/>
  <c r="N95" i="1"/>
  <c r="M95" i="1"/>
  <c r="L95" i="1"/>
  <c r="O434" i="1"/>
  <c r="N434" i="1"/>
  <c r="M434" i="1"/>
  <c r="L434" i="1"/>
  <c r="O433" i="1"/>
  <c r="N433" i="1"/>
  <c r="M433" i="1"/>
  <c r="L433" i="1"/>
  <c r="O130" i="1"/>
  <c r="N130" i="1"/>
  <c r="M130" i="1"/>
  <c r="L130" i="1"/>
  <c r="O432" i="1"/>
  <c r="N432" i="1"/>
  <c r="M432" i="1"/>
  <c r="L432" i="1"/>
  <c r="O431" i="1"/>
  <c r="N431" i="1"/>
  <c r="M431" i="1"/>
  <c r="L431" i="1"/>
  <c r="O157" i="1"/>
  <c r="N157" i="1"/>
  <c r="M157" i="1"/>
  <c r="L157" i="1"/>
  <c r="O101" i="1"/>
  <c r="N101" i="1"/>
  <c r="M101" i="1"/>
  <c r="L101" i="1"/>
  <c r="O430" i="1"/>
  <c r="N430" i="1"/>
  <c r="M430" i="1"/>
  <c r="L430" i="1"/>
  <c r="O429" i="1"/>
  <c r="N429" i="1"/>
  <c r="M429" i="1"/>
  <c r="L429" i="1"/>
  <c r="O428" i="1"/>
  <c r="N428" i="1"/>
  <c r="M428" i="1"/>
  <c r="L428" i="1"/>
  <c r="O427" i="1"/>
  <c r="N427" i="1"/>
  <c r="M427" i="1"/>
  <c r="L427" i="1"/>
  <c r="O84" i="1"/>
  <c r="N84" i="1"/>
  <c r="M84" i="1"/>
  <c r="L84" i="1"/>
  <c r="O35" i="1"/>
  <c r="N35" i="1"/>
  <c r="M35" i="1"/>
  <c r="L35" i="1"/>
  <c r="O426" i="1"/>
  <c r="N426" i="1"/>
  <c r="M426" i="1"/>
  <c r="L426" i="1"/>
  <c r="O14" i="1"/>
  <c r="N14" i="1"/>
  <c r="M14" i="1"/>
  <c r="L14" i="1"/>
  <c r="O425" i="1"/>
  <c r="N425" i="1"/>
  <c r="M425" i="1"/>
  <c r="L425" i="1"/>
  <c r="O424" i="1"/>
  <c r="N424" i="1"/>
  <c r="M424" i="1"/>
  <c r="L424" i="1"/>
  <c r="O263" i="1"/>
  <c r="N263" i="1"/>
  <c r="M263" i="1"/>
  <c r="L263" i="1"/>
  <c r="O242" i="1"/>
  <c r="N242" i="1"/>
  <c r="M242" i="1"/>
  <c r="L242" i="1"/>
  <c r="O75" i="1"/>
  <c r="N75" i="1"/>
  <c r="M75" i="1"/>
  <c r="L75" i="1"/>
  <c r="O48" i="1"/>
  <c r="N48" i="1"/>
  <c r="M48" i="1"/>
  <c r="L48" i="1"/>
  <c r="O107" i="1"/>
  <c r="N107" i="1"/>
  <c r="M107" i="1"/>
  <c r="L107" i="1"/>
  <c r="O44" i="1"/>
  <c r="N44" i="1"/>
  <c r="M44" i="1"/>
  <c r="L44" i="1"/>
  <c r="O423" i="1"/>
  <c r="N423" i="1"/>
  <c r="M423" i="1"/>
  <c r="L423" i="1"/>
  <c r="O422" i="1"/>
  <c r="N422" i="1"/>
  <c r="M422" i="1"/>
  <c r="L422" i="1"/>
  <c r="O421" i="1"/>
  <c r="N421" i="1"/>
  <c r="M421" i="1"/>
  <c r="L421" i="1"/>
  <c r="O420" i="1"/>
  <c r="N420" i="1"/>
  <c r="M420" i="1"/>
  <c r="L420" i="1"/>
  <c r="O419" i="1"/>
  <c r="N419" i="1"/>
  <c r="M419" i="1"/>
  <c r="L419" i="1"/>
  <c r="O144" i="1"/>
  <c r="N144" i="1"/>
  <c r="M144" i="1"/>
  <c r="L144" i="1"/>
  <c r="O168" i="1"/>
  <c r="N168" i="1"/>
  <c r="M168" i="1"/>
  <c r="L168" i="1"/>
  <c r="O254" i="1"/>
  <c r="N254" i="1"/>
  <c r="M254" i="1"/>
  <c r="L254" i="1"/>
  <c r="O200" i="1"/>
  <c r="N200" i="1"/>
  <c r="M200" i="1"/>
  <c r="L200" i="1"/>
  <c r="O55" i="1"/>
  <c r="N55" i="1"/>
  <c r="M55" i="1"/>
  <c r="L55" i="1"/>
  <c r="O418" i="1"/>
  <c r="N418" i="1"/>
  <c r="M418" i="1"/>
  <c r="L418" i="1"/>
  <c r="O417" i="1"/>
  <c r="N417" i="1"/>
  <c r="M417" i="1"/>
  <c r="L417" i="1"/>
  <c r="O416" i="1"/>
  <c r="N416" i="1"/>
  <c r="M416" i="1"/>
  <c r="L416" i="1"/>
  <c r="O229" i="1"/>
  <c r="N229" i="1"/>
  <c r="M229" i="1"/>
  <c r="L229" i="1"/>
  <c r="O183" i="1"/>
  <c r="N183" i="1"/>
  <c r="M183" i="1"/>
  <c r="L183" i="1"/>
  <c r="O214" i="1"/>
  <c r="N214" i="1"/>
  <c r="M214" i="1"/>
  <c r="L214" i="1"/>
  <c r="O415" i="1"/>
  <c r="N415" i="1"/>
  <c r="M415" i="1"/>
  <c r="L415" i="1"/>
  <c r="O414" i="1"/>
  <c r="N414" i="1"/>
  <c r="M414" i="1"/>
  <c r="L414" i="1"/>
  <c r="O24" i="1"/>
  <c r="N24" i="1"/>
  <c r="M24" i="1"/>
  <c r="L24" i="1"/>
  <c r="O233" i="1"/>
  <c r="N233" i="1"/>
  <c r="M233" i="1"/>
  <c r="L233" i="1"/>
  <c r="O156" i="1"/>
  <c r="N156" i="1"/>
  <c r="M156" i="1"/>
  <c r="L156" i="1"/>
  <c r="O120" i="1"/>
  <c r="N120" i="1"/>
  <c r="M120" i="1"/>
  <c r="L120" i="1"/>
  <c r="O194" i="1"/>
  <c r="N194" i="1"/>
  <c r="M194" i="1"/>
  <c r="L194" i="1"/>
  <c r="O413" i="1"/>
  <c r="N413" i="1"/>
  <c r="M413" i="1"/>
  <c r="L413" i="1"/>
  <c r="O412" i="1"/>
  <c r="N412" i="1"/>
  <c r="M412" i="1"/>
  <c r="L412" i="1"/>
  <c r="O96" i="1"/>
  <c r="N96" i="1"/>
  <c r="M96" i="1"/>
  <c r="L96" i="1"/>
  <c r="O411" i="1"/>
  <c r="N411" i="1"/>
  <c r="M411" i="1"/>
  <c r="L411" i="1"/>
  <c r="O410" i="1"/>
  <c r="N410" i="1"/>
  <c r="M410" i="1"/>
  <c r="L410" i="1"/>
  <c r="O131" i="1"/>
  <c r="N131" i="1"/>
  <c r="M131" i="1"/>
  <c r="L131" i="1"/>
  <c r="O409" i="1"/>
  <c r="N409" i="1"/>
  <c r="M409" i="1"/>
  <c r="L409" i="1"/>
  <c r="O408" i="1"/>
  <c r="N408" i="1"/>
  <c r="M408" i="1"/>
  <c r="L408" i="1"/>
  <c r="O159" i="1"/>
  <c r="N159" i="1"/>
  <c r="M159" i="1"/>
  <c r="L159" i="1"/>
  <c r="O50" i="1"/>
  <c r="N50" i="1"/>
  <c r="M50" i="1"/>
  <c r="L50" i="1"/>
  <c r="O407" i="1"/>
  <c r="N407" i="1"/>
  <c r="M407" i="1"/>
  <c r="L407" i="1"/>
  <c r="O406" i="1"/>
  <c r="N406" i="1"/>
  <c r="M406" i="1"/>
  <c r="L406" i="1"/>
  <c r="O405" i="1"/>
  <c r="N405" i="1"/>
  <c r="M405" i="1"/>
  <c r="L405" i="1"/>
  <c r="O262" i="1"/>
  <c r="N262" i="1"/>
  <c r="M262" i="1"/>
  <c r="L262" i="1"/>
  <c r="O83" i="1"/>
  <c r="N83" i="1"/>
  <c r="M83" i="1"/>
  <c r="L83" i="1"/>
  <c r="O34" i="1"/>
  <c r="N34" i="1"/>
  <c r="M34" i="1"/>
  <c r="L34" i="1"/>
  <c r="O404" i="1"/>
  <c r="N404" i="1"/>
  <c r="M404" i="1"/>
  <c r="L404" i="1"/>
  <c r="O13" i="1"/>
  <c r="N13" i="1"/>
  <c r="M13" i="1"/>
  <c r="L13" i="1"/>
  <c r="O403" i="1"/>
  <c r="N403" i="1"/>
  <c r="M403" i="1"/>
  <c r="L403" i="1"/>
  <c r="O402" i="1"/>
  <c r="N402" i="1"/>
  <c r="M402" i="1"/>
  <c r="L402" i="1"/>
  <c r="O261" i="1"/>
  <c r="N261" i="1"/>
  <c r="M261" i="1"/>
  <c r="L261" i="1"/>
  <c r="O244" i="1"/>
  <c r="N244" i="1"/>
  <c r="M244" i="1"/>
  <c r="L244" i="1"/>
  <c r="O76" i="1"/>
  <c r="N76" i="1"/>
  <c r="M76" i="1"/>
  <c r="L76" i="1"/>
  <c r="O49" i="1"/>
  <c r="N49" i="1"/>
  <c r="M49" i="1"/>
  <c r="L49" i="1"/>
  <c r="O108" i="1"/>
  <c r="N108" i="1"/>
  <c r="M108" i="1"/>
  <c r="L108" i="1"/>
  <c r="O64" i="1"/>
  <c r="N64" i="1"/>
  <c r="M64" i="1"/>
  <c r="L64" i="1"/>
  <c r="O401" i="1"/>
  <c r="N401" i="1"/>
  <c r="M401" i="1"/>
  <c r="L401" i="1"/>
  <c r="O400" i="1"/>
  <c r="N400" i="1"/>
  <c r="M400" i="1"/>
  <c r="L400" i="1"/>
  <c r="O399" i="1"/>
  <c r="N399" i="1"/>
  <c r="M399" i="1"/>
  <c r="L399" i="1"/>
  <c r="O398" i="1"/>
  <c r="N398" i="1"/>
  <c r="M398" i="1"/>
  <c r="L398" i="1"/>
  <c r="O397" i="1"/>
  <c r="N397" i="1"/>
  <c r="M397" i="1"/>
  <c r="L397" i="1"/>
  <c r="O145" i="1"/>
  <c r="N145" i="1"/>
  <c r="M145" i="1"/>
  <c r="L145" i="1"/>
  <c r="O167" i="1"/>
  <c r="N167" i="1"/>
  <c r="M167" i="1"/>
  <c r="L167" i="1"/>
  <c r="O255" i="1"/>
  <c r="N255" i="1"/>
  <c r="M255" i="1"/>
  <c r="L255" i="1"/>
  <c r="O202" i="1"/>
  <c r="N202" i="1"/>
  <c r="M202" i="1"/>
  <c r="L202" i="1"/>
  <c r="O40" i="1"/>
  <c r="N40" i="1"/>
  <c r="M40" i="1"/>
  <c r="L40" i="1"/>
  <c r="O396" i="1"/>
  <c r="N396" i="1"/>
  <c r="M396" i="1"/>
  <c r="L396" i="1"/>
  <c r="O395" i="1"/>
  <c r="N395" i="1"/>
  <c r="M395" i="1"/>
  <c r="L395" i="1"/>
  <c r="O394" i="1"/>
  <c r="N394" i="1"/>
  <c r="M394" i="1"/>
  <c r="L394" i="1"/>
  <c r="O228" i="1"/>
  <c r="N228" i="1"/>
  <c r="M228" i="1"/>
  <c r="L228" i="1"/>
  <c r="O184" i="1"/>
  <c r="N184" i="1"/>
  <c r="M184" i="1"/>
  <c r="L184" i="1"/>
  <c r="O213" i="1"/>
  <c r="N213" i="1"/>
  <c r="M213" i="1"/>
  <c r="L213" i="1"/>
  <c r="O393" i="1"/>
  <c r="N393" i="1"/>
  <c r="M393" i="1"/>
  <c r="L393" i="1"/>
  <c r="O392" i="1"/>
  <c r="N392" i="1"/>
  <c r="M392" i="1"/>
  <c r="L392" i="1"/>
  <c r="O25" i="1"/>
  <c r="N25" i="1"/>
  <c r="M25" i="1"/>
  <c r="L25" i="1"/>
  <c r="O234" i="1"/>
  <c r="N234" i="1"/>
  <c r="M234" i="1"/>
  <c r="L234" i="1"/>
  <c r="O158" i="1"/>
  <c r="N158" i="1"/>
  <c r="M158" i="1"/>
  <c r="L158" i="1"/>
  <c r="O121" i="1"/>
  <c r="N121" i="1"/>
  <c r="M121" i="1"/>
  <c r="L121" i="1"/>
  <c r="O197" i="1"/>
  <c r="N197" i="1"/>
  <c r="M197" i="1"/>
  <c r="L197" i="1"/>
  <c r="O391" i="1"/>
  <c r="N391" i="1"/>
  <c r="M391" i="1"/>
  <c r="L391" i="1"/>
  <c r="O390" i="1"/>
  <c r="N390" i="1"/>
  <c r="M390" i="1"/>
  <c r="L390" i="1"/>
  <c r="O97" i="1"/>
  <c r="N97" i="1"/>
  <c r="M97" i="1"/>
  <c r="L97" i="1"/>
  <c r="O389" i="1"/>
  <c r="N389" i="1"/>
  <c r="M389" i="1"/>
  <c r="L389" i="1"/>
  <c r="O388" i="1"/>
  <c r="N388" i="1"/>
  <c r="M388" i="1"/>
  <c r="L388" i="1"/>
  <c r="O132" i="1"/>
  <c r="N132" i="1"/>
  <c r="M132" i="1"/>
  <c r="L132" i="1"/>
  <c r="O387" i="1"/>
  <c r="N387" i="1"/>
  <c r="M387" i="1"/>
  <c r="L387" i="1"/>
  <c r="O386" i="1"/>
  <c r="N386" i="1"/>
  <c r="M386" i="1"/>
  <c r="L386" i="1"/>
  <c r="O166" i="1"/>
  <c r="N166" i="1"/>
  <c r="M166" i="1"/>
  <c r="L166" i="1"/>
  <c r="O114" i="1"/>
  <c r="N114" i="1"/>
  <c r="M114" i="1"/>
  <c r="L114" i="1"/>
  <c r="O385" i="1"/>
  <c r="N385" i="1"/>
  <c r="M385" i="1"/>
  <c r="L385" i="1"/>
  <c r="O384" i="1"/>
  <c r="N384" i="1"/>
  <c r="M384" i="1"/>
  <c r="L384" i="1"/>
  <c r="O383" i="1"/>
  <c r="N383" i="1"/>
  <c r="M383" i="1"/>
  <c r="L383" i="1"/>
  <c r="O382" i="1"/>
  <c r="N382" i="1"/>
  <c r="M382" i="1"/>
  <c r="L382" i="1"/>
  <c r="O82" i="1"/>
  <c r="N82" i="1"/>
  <c r="M82" i="1"/>
  <c r="L82" i="1"/>
  <c r="O33" i="1"/>
  <c r="N33" i="1"/>
  <c r="M33" i="1"/>
  <c r="L33" i="1"/>
  <c r="O381" i="1"/>
  <c r="N381" i="1"/>
  <c r="M381" i="1"/>
  <c r="L381" i="1"/>
  <c r="O12" i="1"/>
  <c r="N12" i="1"/>
  <c r="M12" i="1"/>
  <c r="L12" i="1"/>
  <c r="O380" i="1"/>
  <c r="N380" i="1"/>
  <c r="M380" i="1"/>
  <c r="L380" i="1"/>
  <c r="O379" i="1"/>
  <c r="N379" i="1"/>
  <c r="M379" i="1"/>
  <c r="L379" i="1"/>
  <c r="O260" i="1"/>
  <c r="N260" i="1"/>
  <c r="M260" i="1"/>
  <c r="L260" i="1"/>
  <c r="O246" i="1"/>
  <c r="N246" i="1"/>
  <c r="M246" i="1"/>
  <c r="L246" i="1"/>
  <c r="O87" i="1"/>
  <c r="N87" i="1"/>
  <c r="M87" i="1"/>
  <c r="L87" i="1"/>
  <c r="O39" i="1"/>
  <c r="N39" i="1"/>
  <c r="M39" i="1"/>
  <c r="L39" i="1"/>
  <c r="O109" i="1"/>
  <c r="N109" i="1"/>
  <c r="M109" i="1"/>
  <c r="L109" i="1"/>
  <c r="O65" i="1"/>
  <c r="N65" i="1"/>
  <c r="M65" i="1"/>
  <c r="L65" i="1"/>
  <c r="O378" i="1"/>
  <c r="N378" i="1"/>
  <c r="M378" i="1"/>
  <c r="L378" i="1"/>
  <c r="O377" i="1"/>
  <c r="N377" i="1"/>
  <c r="M377" i="1"/>
  <c r="L377" i="1"/>
  <c r="O376" i="1"/>
  <c r="N376" i="1"/>
  <c r="M376" i="1"/>
  <c r="L376" i="1"/>
  <c r="O375" i="1"/>
  <c r="N375" i="1"/>
  <c r="M375" i="1"/>
  <c r="L375" i="1"/>
  <c r="O374" i="1"/>
  <c r="N374" i="1"/>
  <c r="M374" i="1"/>
  <c r="L374" i="1"/>
  <c r="O146" i="1"/>
  <c r="N146" i="1"/>
  <c r="M146" i="1"/>
  <c r="L146" i="1"/>
  <c r="O165" i="1"/>
  <c r="N165" i="1"/>
  <c r="M165" i="1"/>
  <c r="L165" i="1"/>
  <c r="O256" i="1"/>
  <c r="N256" i="1"/>
  <c r="M256" i="1"/>
  <c r="L256" i="1"/>
  <c r="O204" i="1"/>
  <c r="N204" i="1"/>
  <c r="M204" i="1"/>
  <c r="L204" i="1"/>
  <c r="O58" i="1"/>
  <c r="N58" i="1"/>
  <c r="M58" i="1"/>
  <c r="L58" i="1"/>
  <c r="O373" i="1"/>
  <c r="N373" i="1"/>
  <c r="M373" i="1"/>
  <c r="L373" i="1"/>
  <c r="O372" i="1"/>
  <c r="N372" i="1"/>
  <c r="M372" i="1"/>
  <c r="L372" i="1"/>
  <c r="O371" i="1"/>
  <c r="N371" i="1"/>
  <c r="M371" i="1"/>
  <c r="L371" i="1"/>
  <c r="O227" i="1"/>
  <c r="N227" i="1"/>
  <c r="M227" i="1"/>
  <c r="L227" i="1"/>
  <c r="O186" i="1"/>
  <c r="N186" i="1"/>
  <c r="M186" i="1"/>
  <c r="L186" i="1"/>
  <c r="O212" i="1"/>
  <c r="N212" i="1"/>
  <c r="M212" i="1"/>
  <c r="L212" i="1"/>
  <c r="O139" i="1"/>
  <c r="N139" i="1"/>
  <c r="M139" i="1"/>
  <c r="L139" i="1"/>
  <c r="O370" i="1"/>
  <c r="N370" i="1"/>
  <c r="M370" i="1"/>
  <c r="L370" i="1"/>
  <c r="O369" i="1"/>
  <c r="N369" i="1"/>
  <c r="M369" i="1"/>
  <c r="L369" i="1"/>
  <c r="O21" i="1"/>
  <c r="N21" i="1"/>
  <c r="M21" i="1"/>
  <c r="L21" i="1"/>
  <c r="O237" i="1"/>
  <c r="N237" i="1"/>
  <c r="M237" i="1"/>
  <c r="L237" i="1"/>
  <c r="O160" i="1"/>
  <c r="N160" i="1"/>
  <c r="M160" i="1"/>
  <c r="L160" i="1"/>
  <c r="O122" i="1"/>
  <c r="N122" i="1"/>
  <c r="M122" i="1"/>
  <c r="L122" i="1"/>
  <c r="O199" i="1"/>
  <c r="N199" i="1"/>
  <c r="M199" i="1"/>
  <c r="L199" i="1"/>
  <c r="O368" i="1"/>
  <c r="N368" i="1"/>
  <c r="M368" i="1"/>
  <c r="L368" i="1"/>
  <c r="O367" i="1"/>
  <c r="N367" i="1"/>
  <c r="M367" i="1"/>
  <c r="L367" i="1"/>
  <c r="O98" i="1"/>
  <c r="N98" i="1"/>
  <c r="M98" i="1"/>
  <c r="L98" i="1"/>
  <c r="O366" i="1"/>
  <c r="N366" i="1"/>
  <c r="M366" i="1"/>
  <c r="L366" i="1"/>
  <c r="O365" i="1"/>
  <c r="N365" i="1"/>
  <c r="M365" i="1"/>
  <c r="L365" i="1"/>
  <c r="O133" i="1"/>
  <c r="N133" i="1"/>
  <c r="M133" i="1"/>
  <c r="L133" i="1"/>
  <c r="O364" i="1"/>
  <c r="N364" i="1"/>
  <c r="M364" i="1"/>
  <c r="L364" i="1"/>
  <c r="O363" i="1"/>
  <c r="N363" i="1"/>
  <c r="M363" i="1"/>
  <c r="L363" i="1"/>
  <c r="O173" i="1"/>
  <c r="N173" i="1"/>
  <c r="M173" i="1"/>
  <c r="L173" i="1"/>
  <c r="O63" i="1"/>
  <c r="N63" i="1"/>
  <c r="M63" i="1"/>
  <c r="L63" i="1"/>
  <c r="O362" i="1"/>
  <c r="N362" i="1"/>
  <c r="M362" i="1"/>
  <c r="L362" i="1"/>
  <c r="O361" i="1"/>
  <c r="N361" i="1"/>
  <c r="M361" i="1"/>
  <c r="L361" i="1"/>
  <c r="O360" i="1"/>
  <c r="N360" i="1"/>
  <c r="M360" i="1"/>
  <c r="L360" i="1"/>
  <c r="O359" i="1"/>
  <c r="N359" i="1"/>
  <c r="M359" i="1"/>
  <c r="L359" i="1"/>
  <c r="O81" i="1"/>
  <c r="N81" i="1"/>
  <c r="M81" i="1"/>
  <c r="L81" i="1"/>
  <c r="O32" i="1"/>
  <c r="N32" i="1"/>
  <c r="M32" i="1"/>
  <c r="L32" i="1"/>
  <c r="O11" i="1"/>
  <c r="N11" i="1"/>
  <c r="M11" i="1"/>
  <c r="L11" i="1"/>
  <c r="O358" i="1"/>
  <c r="N358" i="1"/>
  <c r="M358" i="1"/>
  <c r="L358" i="1"/>
  <c r="O357" i="1"/>
  <c r="N357" i="1"/>
  <c r="M357" i="1"/>
  <c r="L357" i="1"/>
  <c r="O356" i="1"/>
  <c r="N356" i="1"/>
  <c r="M356" i="1"/>
  <c r="L356" i="1"/>
  <c r="O259" i="1"/>
  <c r="N259" i="1"/>
  <c r="M259" i="1"/>
  <c r="L259" i="1"/>
  <c r="O247" i="1"/>
  <c r="N247" i="1"/>
  <c r="M247" i="1"/>
  <c r="L247" i="1"/>
  <c r="O89" i="1"/>
  <c r="N89" i="1"/>
  <c r="M89" i="1"/>
  <c r="L89" i="1"/>
  <c r="O38" i="1"/>
  <c r="N38" i="1"/>
  <c r="M38" i="1"/>
  <c r="L38" i="1"/>
  <c r="O110" i="1"/>
  <c r="N110" i="1"/>
  <c r="M110" i="1"/>
  <c r="L110" i="1"/>
  <c r="O66" i="1"/>
  <c r="N66" i="1"/>
  <c r="M66" i="1"/>
  <c r="L66" i="1"/>
  <c r="O355" i="1"/>
  <c r="N355" i="1"/>
  <c r="M355" i="1"/>
  <c r="L355" i="1"/>
  <c r="O354" i="1"/>
  <c r="N354" i="1"/>
  <c r="M354" i="1"/>
  <c r="L354" i="1"/>
  <c r="O353" i="1"/>
  <c r="N353" i="1"/>
  <c r="M353" i="1"/>
  <c r="L353" i="1"/>
  <c r="O352" i="1"/>
  <c r="N352" i="1"/>
  <c r="M352" i="1"/>
  <c r="L352" i="1"/>
  <c r="O351" i="1"/>
  <c r="N351" i="1"/>
  <c r="M351" i="1"/>
  <c r="L351" i="1"/>
  <c r="O147" i="1"/>
  <c r="N147" i="1"/>
  <c r="M147" i="1"/>
  <c r="L147" i="1"/>
  <c r="O164" i="1"/>
  <c r="N164" i="1"/>
  <c r="M164" i="1"/>
  <c r="L164" i="1"/>
  <c r="O257" i="1"/>
  <c r="N257" i="1"/>
  <c r="M257" i="1"/>
  <c r="L257" i="1"/>
  <c r="O206" i="1"/>
  <c r="N206" i="1"/>
  <c r="M206" i="1"/>
  <c r="L206" i="1"/>
  <c r="O59" i="1"/>
  <c r="N59" i="1"/>
  <c r="M59" i="1"/>
  <c r="L59" i="1"/>
  <c r="O350" i="1"/>
  <c r="N350" i="1"/>
  <c r="M350" i="1"/>
  <c r="L350" i="1"/>
  <c r="O349" i="1"/>
  <c r="N349" i="1"/>
  <c r="M349" i="1"/>
  <c r="L349" i="1"/>
  <c r="O348" i="1"/>
  <c r="N348" i="1"/>
  <c r="M348" i="1"/>
  <c r="L348" i="1"/>
  <c r="O226" i="1"/>
  <c r="N226" i="1"/>
  <c r="M226" i="1"/>
  <c r="L226" i="1"/>
  <c r="O188" i="1"/>
  <c r="N188" i="1"/>
  <c r="M188" i="1"/>
  <c r="L188" i="1"/>
  <c r="O211" i="1"/>
  <c r="N211" i="1"/>
  <c r="M211" i="1"/>
  <c r="L211" i="1"/>
  <c r="O347" i="1"/>
  <c r="N347" i="1"/>
  <c r="M347" i="1"/>
  <c r="L347" i="1"/>
  <c r="O346" i="1"/>
  <c r="N346" i="1"/>
  <c r="M346" i="1"/>
  <c r="L346" i="1"/>
  <c r="O19" i="1"/>
  <c r="N19" i="1"/>
  <c r="M19" i="1"/>
  <c r="L19" i="1"/>
  <c r="O239" i="1"/>
  <c r="N239" i="1"/>
  <c r="M239" i="1"/>
  <c r="L239" i="1"/>
  <c r="O172" i="1"/>
  <c r="N172" i="1"/>
  <c r="M172" i="1"/>
  <c r="L172" i="1"/>
  <c r="O123" i="1"/>
  <c r="N123" i="1"/>
  <c r="M123" i="1"/>
  <c r="L123" i="1"/>
  <c r="O201" i="1"/>
  <c r="N201" i="1"/>
  <c r="M201" i="1"/>
  <c r="L201" i="1"/>
  <c r="O345" i="1"/>
  <c r="N345" i="1"/>
  <c r="M345" i="1"/>
  <c r="L345" i="1"/>
  <c r="O344" i="1"/>
  <c r="N344" i="1"/>
  <c r="M344" i="1"/>
  <c r="L344" i="1"/>
  <c r="O127" i="1"/>
  <c r="N127" i="1"/>
  <c r="M127" i="1"/>
  <c r="L127" i="1"/>
  <c r="O343" i="1"/>
  <c r="N343" i="1"/>
  <c r="M343" i="1"/>
  <c r="L343" i="1"/>
  <c r="O342" i="1"/>
  <c r="N342" i="1"/>
  <c r="M342" i="1"/>
  <c r="L342" i="1"/>
  <c r="O134" i="1"/>
  <c r="N134" i="1"/>
  <c r="M134" i="1"/>
  <c r="L134" i="1"/>
  <c r="O341" i="1"/>
  <c r="N341" i="1"/>
  <c r="M341" i="1"/>
  <c r="L341" i="1"/>
  <c r="O340" i="1"/>
  <c r="N340" i="1"/>
  <c r="M340" i="1"/>
  <c r="L340" i="1"/>
  <c r="O176" i="1"/>
  <c r="N176" i="1"/>
  <c r="M176" i="1"/>
  <c r="L176" i="1"/>
  <c r="O70" i="1"/>
  <c r="N70" i="1"/>
  <c r="M70" i="1"/>
  <c r="L70" i="1"/>
  <c r="O339" i="1"/>
  <c r="N339" i="1"/>
  <c r="M339" i="1"/>
  <c r="L339" i="1"/>
  <c r="O338" i="1"/>
  <c r="N338" i="1"/>
  <c r="M338" i="1"/>
  <c r="L338" i="1"/>
  <c r="O337" i="1"/>
  <c r="N337" i="1"/>
  <c r="M337" i="1"/>
  <c r="L337" i="1"/>
  <c r="O336" i="1"/>
  <c r="N336" i="1"/>
  <c r="M336" i="1"/>
  <c r="L336" i="1"/>
  <c r="O80" i="1"/>
  <c r="N80" i="1"/>
  <c r="M80" i="1"/>
  <c r="L80" i="1"/>
  <c r="O31" i="1"/>
  <c r="N31" i="1"/>
  <c r="M31" i="1"/>
  <c r="L31" i="1"/>
  <c r="O335" i="1"/>
  <c r="N335" i="1"/>
  <c r="M335" i="1"/>
  <c r="L335" i="1"/>
  <c r="O10" i="1"/>
  <c r="N10" i="1"/>
  <c r="M10" i="1"/>
  <c r="L10" i="1"/>
  <c r="O334" i="1"/>
  <c r="N334" i="1"/>
  <c r="M334" i="1"/>
  <c r="L334" i="1"/>
  <c r="O333" i="1"/>
  <c r="N333" i="1"/>
  <c r="M333" i="1"/>
  <c r="L333" i="1"/>
  <c r="O258" i="1"/>
  <c r="N258" i="1"/>
  <c r="M258" i="1"/>
  <c r="L258" i="1"/>
  <c r="O248" i="1"/>
  <c r="N248" i="1"/>
  <c r="M248" i="1"/>
  <c r="L248" i="1"/>
  <c r="O90" i="1"/>
  <c r="N90" i="1"/>
  <c r="M90" i="1"/>
  <c r="L90" i="1"/>
  <c r="O53" i="1"/>
  <c r="N53" i="1"/>
  <c r="M53" i="1"/>
  <c r="L53" i="1"/>
  <c r="O111" i="1"/>
  <c r="N111" i="1"/>
  <c r="M111" i="1"/>
  <c r="L111" i="1"/>
  <c r="O42" i="1"/>
  <c r="N42" i="1"/>
  <c r="M42" i="1"/>
  <c r="L42" i="1"/>
  <c r="O332" i="1"/>
  <c r="N332" i="1"/>
  <c r="M332" i="1"/>
  <c r="L332" i="1"/>
  <c r="O331" i="1"/>
  <c r="N331" i="1"/>
  <c r="M331" i="1"/>
  <c r="L331" i="1"/>
  <c r="O330" i="1"/>
  <c r="N330" i="1"/>
  <c r="M330" i="1"/>
  <c r="L330" i="1"/>
  <c r="O329" i="1"/>
  <c r="N329" i="1"/>
  <c r="M329" i="1"/>
  <c r="L329" i="1"/>
  <c r="O328" i="1"/>
  <c r="N328" i="1"/>
  <c r="M328" i="1"/>
  <c r="L328" i="1"/>
  <c r="O148" i="1"/>
  <c r="N148" i="1"/>
  <c r="M148" i="1"/>
  <c r="L148" i="1"/>
  <c r="O163" i="1"/>
  <c r="N163" i="1"/>
  <c r="M163" i="1"/>
  <c r="L163" i="1"/>
  <c r="O267" i="1"/>
  <c r="N267" i="1"/>
  <c r="M267" i="1"/>
  <c r="L267" i="1"/>
  <c r="O218" i="1"/>
  <c r="N218" i="1"/>
  <c r="M218" i="1"/>
  <c r="L218" i="1"/>
  <c r="O60" i="1"/>
  <c r="N60" i="1"/>
  <c r="M60" i="1"/>
  <c r="L60" i="1"/>
  <c r="O327" i="1"/>
  <c r="N327" i="1"/>
  <c r="M327" i="1"/>
  <c r="L327" i="1"/>
  <c r="O326" i="1"/>
  <c r="N326" i="1"/>
  <c r="M326" i="1"/>
  <c r="L326" i="1"/>
  <c r="O325" i="1"/>
  <c r="N325" i="1"/>
  <c r="M325" i="1"/>
  <c r="L325" i="1"/>
  <c r="O225" i="1"/>
  <c r="N225" i="1"/>
  <c r="M225" i="1"/>
  <c r="L225" i="1"/>
  <c r="O190" i="1"/>
  <c r="N190" i="1"/>
  <c r="M190" i="1"/>
  <c r="L190" i="1"/>
  <c r="O210" i="1"/>
  <c r="N210" i="1"/>
  <c r="M210" i="1"/>
  <c r="L210" i="1"/>
  <c r="O138" i="1"/>
  <c r="N138" i="1"/>
  <c r="M138" i="1"/>
  <c r="L138" i="1"/>
  <c r="O324" i="1"/>
  <c r="N324" i="1"/>
  <c r="M324" i="1"/>
  <c r="L324" i="1"/>
  <c r="O323" i="1"/>
  <c r="N323" i="1"/>
  <c r="M323" i="1"/>
  <c r="L323" i="1"/>
  <c r="O20" i="1"/>
  <c r="N20" i="1"/>
  <c r="M20" i="1"/>
  <c r="L20" i="1"/>
  <c r="O241" i="1"/>
  <c r="N241" i="1"/>
  <c r="M241" i="1"/>
  <c r="L241" i="1"/>
  <c r="O175" i="1"/>
  <c r="N175" i="1"/>
  <c r="M175" i="1"/>
  <c r="L175" i="1"/>
  <c r="O124" i="1"/>
  <c r="N124" i="1"/>
  <c r="M124" i="1"/>
  <c r="L124" i="1"/>
  <c r="O203" i="1"/>
  <c r="N203" i="1"/>
  <c r="M203" i="1"/>
  <c r="L203" i="1"/>
  <c r="O322" i="1"/>
  <c r="N322" i="1"/>
  <c r="M322" i="1"/>
  <c r="L322" i="1"/>
  <c r="O321" i="1"/>
  <c r="N321" i="1"/>
  <c r="M321" i="1"/>
  <c r="L321" i="1"/>
  <c r="O100" i="1"/>
  <c r="N100" i="1"/>
  <c r="M100" i="1"/>
  <c r="L100" i="1"/>
  <c r="O320" i="1"/>
  <c r="N320" i="1"/>
  <c r="M320" i="1"/>
  <c r="L320" i="1"/>
  <c r="O319" i="1"/>
  <c r="N319" i="1"/>
  <c r="M319" i="1"/>
  <c r="L319" i="1"/>
  <c r="O135" i="1"/>
  <c r="N135" i="1"/>
  <c r="M135" i="1"/>
  <c r="L135" i="1"/>
  <c r="O318" i="1"/>
  <c r="N318" i="1"/>
  <c r="M318" i="1"/>
  <c r="L318" i="1"/>
  <c r="O317" i="1"/>
  <c r="N317" i="1"/>
  <c r="M317" i="1"/>
  <c r="L317" i="1"/>
  <c r="O179" i="1"/>
  <c r="N179" i="1"/>
  <c r="M179" i="1"/>
  <c r="L179" i="1"/>
  <c r="O88" i="1"/>
  <c r="N88" i="1"/>
  <c r="M88" i="1"/>
  <c r="L88" i="1"/>
  <c r="O316" i="1"/>
  <c r="N316" i="1"/>
  <c r="M316" i="1"/>
  <c r="L316" i="1"/>
  <c r="O315" i="1"/>
  <c r="N315" i="1"/>
  <c r="M315" i="1"/>
  <c r="L315" i="1"/>
  <c r="O314" i="1"/>
  <c r="N314" i="1"/>
  <c r="M314" i="1"/>
  <c r="L314" i="1"/>
  <c r="O313" i="1"/>
  <c r="N313" i="1"/>
  <c r="M313" i="1"/>
  <c r="L313" i="1"/>
  <c r="O79" i="1"/>
  <c r="N79" i="1"/>
  <c r="M79" i="1"/>
  <c r="L79" i="1"/>
  <c r="O30" i="1"/>
  <c r="N30" i="1"/>
  <c r="M30" i="1"/>
  <c r="L30" i="1"/>
  <c r="O312" i="1"/>
  <c r="N312" i="1"/>
  <c r="M312" i="1"/>
  <c r="L312" i="1"/>
  <c r="O9" i="1"/>
  <c r="N9" i="1"/>
  <c r="M9" i="1"/>
  <c r="L9" i="1"/>
  <c r="O249" i="1"/>
  <c r="N249" i="1"/>
  <c r="M249" i="1"/>
  <c r="L249" i="1"/>
  <c r="O91" i="1"/>
  <c r="N91" i="1"/>
  <c r="M91" i="1"/>
  <c r="L91" i="1"/>
  <c r="O99" i="1"/>
  <c r="N99" i="1"/>
  <c r="M99" i="1"/>
  <c r="L99" i="1"/>
  <c r="O112" i="1"/>
  <c r="N112" i="1"/>
  <c r="M112" i="1"/>
  <c r="L112" i="1"/>
  <c r="O68" i="1"/>
  <c r="N68" i="1"/>
  <c r="M68" i="1"/>
  <c r="L68" i="1"/>
  <c r="O311" i="1"/>
  <c r="N311" i="1"/>
  <c r="M311" i="1"/>
  <c r="L311" i="1"/>
  <c r="O310" i="1"/>
  <c r="N310" i="1"/>
  <c r="M310" i="1"/>
  <c r="L310" i="1"/>
  <c r="O309" i="1"/>
  <c r="N309" i="1"/>
  <c r="M309" i="1"/>
  <c r="L309" i="1"/>
  <c r="O308" i="1"/>
  <c r="N308" i="1"/>
  <c r="M308" i="1"/>
  <c r="L308" i="1"/>
  <c r="O307" i="1"/>
  <c r="N307" i="1"/>
  <c r="M307" i="1"/>
  <c r="L307" i="1"/>
  <c r="O149" i="1"/>
  <c r="N149" i="1"/>
  <c r="M149" i="1"/>
  <c r="L149" i="1"/>
  <c r="O162" i="1"/>
  <c r="N162" i="1"/>
  <c r="M162" i="1"/>
  <c r="L162" i="1"/>
  <c r="O268" i="1"/>
  <c r="N268" i="1"/>
  <c r="M268" i="1"/>
  <c r="L268" i="1"/>
  <c r="O219" i="1"/>
  <c r="N219" i="1"/>
  <c r="M219" i="1"/>
  <c r="L219" i="1"/>
  <c r="O61" i="1"/>
  <c r="N61" i="1"/>
  <c r="M61" i="1"/>
  <c r="L61" i="1"/>
  <c r="O306" i="1"/>
  <c r="N306" i="1"/>
  <c r="M306" i="1"/>
  <c r="L306" i="1"/>
  <c r="O305" i="1"/>
  <c r="N305" i="1"/>
  <c r="M305" i="1"/>
  <c r="L305" i="1"/>
  <c r="O304" i="1"/>
  <c r="N304" i="1"/>
  <c r="M304" i="1"/>
  <c r="L304" i="1"/>
  <c r="O224" i="1"/>
  <c r="N224" i="1"/>
  <c r="M224" i="1"/>
  <c r="L224" i="1"/>
  <c r="O193" i="1"/>
  <c r="N193" i="1"/>
  <c r="M193" i="1"/>
  <c r="L193" i="1"/>
  <c r="O209" i="1"/>
  <c r="N209" i="1"/>
  <c r="M209" i="1"/>
  <c r="L209" i="1"/>
  <c r="O303" i="1"/>
  <c r="N303" i="1"/>
  <c r="M303" i="1"/>
  <c r="L303" i="1"/>
  <c r="O302" i="1"/>
  <c r="N302" i="1"/>
  <c r="M302" i="1"/>
  <c r="L302" i="1"/>
  <c r="O22" i="1"/>
  <c r="N22" i="1"/>
  <c r="M22" i="1"/>
  <c r="L22" i="1"/>
  <c r="O243" i="1"/>
  <c r="N243" i="1"/>
  <c r="M243" i="1"/>
  <c r="L243" i="1"/>
  <c r="O177" i="1"/>
  <c r="N177" i="1"/>
  <c r="M177" i="1"/>
  <c r="L177" i="1"/>
  <c r="O125" i="1"/>
  <c r="N125" i="1"/>
  <c r="M125" i="1"/>
  <c r="L125" i="1"/>
  <c r="O205" i="1"/>
  <c r="N205" i="1"/>
  <c r="M205" i="1"/>
  <c r="L205" i="1"/>
  <c r="O301" i="1"/>
  <c r="N301" i="1"/>
  <c r="M301" i="1"/>
  <c r="L301" i="1"/>
  <c r="O300" i="1"/>
  <c r="N300" i="1"/>
  <c r="M300" i="1"/>
  <c r="L300" i="1"/>
  <c r="O102" i="1"/>
  <c r="N102" i="1"/>
  <c r="M102" i="1"/>
  <c r="L102" i="1"/>
  <c r="O299" i="1"/>
  <c r="N299" i="1"/>
  <c r="M299" i="1"/>
  <c r="L299" i="1"/>
  <c r="O298" i="1"/>
  <c r="N298" i="1"/>
  <c r="M298" i="1"/>
  <c r="L298" i="1"/>
  <c r="O136" i="1"/>
  <c r="N136" i="1"/>
  <c r="M136" i="1"/>
  <c r="L136" i="1"/>
  <c r="O297" i="1"/>
  <c r="N297" i="1"/>
  <c r="M297" i="1"/>
  <c r="L297" i="1"/>
  <c r="O296" i="1"/>
  <c r="N296" i="1"/>
  <c r="M296" i="1"/>
  <c r="L296" i="1"/>
  <c r="O182" i="1"/>
  <c r="N182" i="1"/>
  <c r="M182" i="1"/>
  <c r="L182" i="1"/>
  <c r="O43" i="1"/>
  <c r="N43" i="1"/>
  <c r="M43" i="1"/>
  <c r="L43" i="1"/>
  <c r="O295" i="1"/>
  <c r="N295" i="1"/>
  <c r="M295" i="1"/>
  <c r="L295" i="1"/>
  <c r="O294" i="1"/>
  <c r="N294" i="1"/>
  <c r="M294" i="1"/>
  <c r="L294" i="1"/>
  <c r="O293" i="1"/>
  <c r="N293" i="1"/>
  <c r="M293" i="1"/>
  <c r="L293" i="1"/>
  <c r="O292" i="1"/>
  <c r="N292" i="1"/>
  <c r="M292" i="1"/>
  <c r="L292" i="1"/>
  <c r="O78" i="1"/>
  <c r="N78" i="1"/>
  <c r="M78" i="1"/>
  <c r="L78" i="1"/>
  <c r="O29" i="1"/>
  <c r="N29" i="1"/>
  <c r="M29" i="1"/>
  <c r="L29" i="1"/>
  <c r="O291" i="1"/>
  <c r="N291" i="1"/>
  <c r="M291" i="1"/>
  <c r="L291" i="1"/>
  <c r="O8" i="1"/>
  <c r="N8" i="1"/>
  <c r="M8" i="1"/>
  <c r="L8" i="1"/>
  <c r="O250" i="1"/>
  <c r="N250" i="1"/>
  <c r="M250" i="1"/>
  <c r="L250" i="1"/>
  <c r="O92" i="1"/>
  <c r="N92" i="1"/>
  <c r="M92" i="1"/>
  <c r="L92" i="1"/>
  <c r="O56" i="1"/>
  <c r="N56" i="1"/>
  <c r="M56" i="1"/>
  <c r="L56" i="1"/>
  <c r="O113" i="1"/>
  <c r="N113" i="1"/>
  <c r="M113" i="1"/>
  <c r="L113" i="1"/>
  <c r="O69" i="1"/>
  <c r="N69" i="1"/>
  <c r="M69" i="1"/>
  <c r="L69" i="1"/>
  <c r="O290" i="1"/>
  <c r="N290" i="1"/>
  <c r="M290" i="1"/>
  <c r="L290" i="1"/>
  <c r="O289" i="1"/>
  <c r="N289" i="1"/>
  <c r="M289" i="1"/>
  <c r="L289" i="1"/>
  <c r="O288" i="1"/>
  <c r="N288" i="1"/>
  <c r="M288" i="1"/>
  <c r="L288" i="1"/>
  <c r="O287" i="1"/>
  <c r="N287" i="1"/>
  <c r="M287" i="1"/>
  <c r="L287" i="1"/>
  <c r="O286" i="1"/>
  <c r="N286" i="1"/>
  <c r="M286" i="1"/>
  <c r="L286" i="1"/>
  <c r="O150" i="1"/>
  <c r="N150" i="1"/>
  <c r="M150" i="1"/>
  <c r="L150" i="1"/>
  <c r="O161" i="1"/>
  <c r="N161" i="1"/>
  <c r="M161" i="1"/>
  <c r="L161" i="1"/>
  <c r="O269" i="1"/>
  <c r="N269" i="1"/>
  <c r="M269" i="1"/>
  <c r="L269" i="1"/>
  <c r="O221" i="1"/>
  <c r="N221" i="1"/>
  <c r="M221" i="1"/>
  <c r="L221" i="1"/>
  <c r="O62" i="1"/>
  <c r="N62" i="1"/>
  <c r="M62" i="1"/>
  <c r="L62" i="1"/>
  <c r="O285" i="1"/>
  <c r="N285" i="1"/>
  <c r="M285" i="1"/>
  <c r="L285" i="1"/>
  <c r="O284" i="1"/>
  <c r="N284" i="1"/>
  <c r="M284" i="1"/>
  <c r="L284" i="1"/>
  <c r="O283" i="1"/>
  <c r="N283" i="1"/>
  <c r="M283" i="1"/>
  <c r="L283" i="1"/>
  <c r="O236" i="1"/>
  <c r="N236" i="1"/>
  <c r="M236" i="1"/>
  <c r="L236" i="1"/>
  <c r="O196" i="1"/>
  <c r="N196" i="1"/>
  <c r="M196" i="1"/>
  <c r="L196" i="1"/>
  <c r="O208" i="1"/>
  <c r="N208" i="1"/>
  <c r="M208" i="1"/>
  <c r="L208" i="1"/>
  <c r="O18" i="1"/>
  <c r="N18" i="1"/>
  <c r="M18" i="1"/>
  <c r="L18" i="1"/>
  <c r="O282" i="1"/>
  <c r="N282" i="1"/>
  <c r="M282" i="1"/>
  <c r="L282" i="1"/>
  <c r="O281" i="1"/>
  <c r="N281" i="1"/>
  <c r="M281" i="1"/>
  <c r="L281" i="1"/>
  <c r="O17" i="1"/>
  <c r="N17" i="1"/>
  <c r="M17" i="1"/>
  <c r="L17" i="1"/>
  <c r="O245" i="1"/>
  <c r="N245" i="1"/>
  <c r="M245" i="1"/>
  <c r="L245" i="1"/>
  <c r="O181" i="1"/>
  <c r="N181" i="1"/>
  <c r="M181" i="1"/>
  <c r="L181" i="1"/>
  <c r="O126" i="1"/>
  <c r="N126" i="1"/>
  <c r="M126" i="1"/>
  <c r="L126" i="1"/>
  <c r="O207" i="1"/>
  <c r="N207" i="1"/>
  <c r="M207" i="1"/>
  <c r="L207" i="1"/>
  <c r="O280" i="1"/>
  <c r="N280" i="1"/>
  <c r="M280" i="1"/>
  <c r="L280" i="1"/>
  <c r="O279" i="1"/>
  <c r="N279" i="1"/>
  <c r="M279" i="1"/>
  <c r="L279" i="1"/>
  <c r="O103" i="1"/>
  <c r="N103" i="1"/>
  <c r="M103" i="1"/>
  <c r="L103" i="1"/>
  <c r="O278" i="1"/>
  <c r="N278" i="1"/>
  <c r="M278" i="1"/>
  <c r="L278" i="1"/>
  <c r="O277" i="1"/>
  <c r="N277" i="1"/>
  <c r="M277" i="1"/>
  <c r="L277" i="1"/>
  <c r="O137" i="1"/>
  <c r="N137" i="1"/>
  <c r="M137" i="1"/>
  <c r="L137" i="1"/>
  <c r="O276" i="1"/>
  <c r="N276" i="1"/>
  <c r="M276" i="1"/>
  <c r="L276" i="1"/>
  <c r="O275" i="1"/>
  <c r="N275" i="1"/>
  <c r="M275" i="1"/>
  <c r="L275" i="1"/>
  <c r="O185" i="1"/>
  <c r="N185" i="1"/>
  <c r="M185" i="1"/>
  <c r="L185" i="1"/>
  <c r="O71" i="1"/>
  <c r="N71" i="1"/>
  <c r="M71" i="1"/>
  <c r="L71" i="1"/>
  <c r="O274" i="1"/>
  <c r="N274" i="1"/>
  <c r="M274" i="1"/>
  <c r="L274" i="1"/>
  <c r="O273" i="1"/>
  <c r="N273" i="1"/>
  <c r="M273" i="1"/>
  <c r="L273" i="1"/>
  <c r="O272" i="1"/>
  <c r="N272" i="1"/>
  <c r="M272" i="1"/>
  <c r="L272" i="1"/>
  <c r="O271" i="1"/>
  <c r="N271" i="1"/>
  <c r="M271" i="1"/>
  <c r="L271" i="1"/>
  <c r="O77" i="1"/>
  <c r="N77" i="1"/>
  <c r="M77" i="1"/>
  <c r="L77" i="1"/>
  <c r="O28" i="1"/>
  <c r="N28" i="1"/>
  <c r="M28" i="1"/>
  <c r="L28" i="1"/>
  <c r="O270" i="1"/>
  <c r="N270" i="1"/>
  <c r="M270" i="1"/>
  <c r="L270" i="1"/>
  <c r="O7" i="1"/>
  <c r="N7" i="1"/>
  <c r="M7" i="1"/>
  <c r="L7" i="1"/>
</calcChain>
</file>

<file path=xl/sharedStrings.xml><?xml version="1.0" encoding="utf-8"?>
<sst xmlns="http://schemas.openxmlformats.org/spreadsheetml/2006/main" count="2025" uniqueCount="105">
  <si>
    <t>Date</t>
  </si>
  <si>
    <t>Description</t>
  </si>
  <si>
    <t>Debit</t>
  </si>
  <si>
    <t>Credit</t>
  </si>
  <si>
    <t>Sub-category</t>
  </si>
  <si>
    <t>Category</t>
  </si>
  <si>
    <t>Category Type</t>
  </si>
  <si>
    <t>Month Name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</si>
  <si>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</si>
  <si>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</si>
  <si>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</si>
  <si>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</si>
  <si>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</si>
  <si>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</si>
  <si>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</si>
  <si>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</si>
  <si>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</si>
  <si>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</si>
  <si>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</si>
  <si>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</si>
  <si>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</si>
  <si>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</si>
  <si>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</si>
  <si>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</si>
  <si>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</si>
  <si>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</si>
  <si>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</si>
  <si>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</si>
  <si>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</si>
  <si>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</si>
  <si>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</si>
  <si>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</si>
  <si>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</si>
  <si>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</si>
  <si>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</si>
  <si>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</si>
  <si>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</si>
  <si>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</si>
  <si>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</si>
  <si>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</si>
  <si>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</si>
  <si>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</si>
  <si>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</si>
  <si>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</si>
  <si>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</si>
  <si>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</si>
  <si>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</si>
  <si>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</si>
  <si>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</si>
  <si>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</si>
  <si>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</si>
  <si>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</si>
  <si>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</si>
  <si>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</si>
  <si>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</si>
  <si>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</si>
  <si>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</si>
  <si>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</si>
  <si>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</si>
  <si>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</si>
  <si>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</si>
  <si>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</si>
  <si>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</si>
  <si>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</si>
  <si>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</si>
  <si>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Credit card info</t>
  </si>
  <si>
    <t>Card Holder</t>
  </si>
  <si>
    <t>Card Number</t>
  </si>
  <si>
    <t>Valid Thru</t>
  </si>
  <si>
    <t>John Doe</t>
  </si>
  <si>
    <t>04/01/2025</t>
  </si>
  <si>
    <t>Sum of Debit</t>
  </si>
  <si>
    <t>Sum of Credit</t>
  </si>
  <si>
    <t>Sum of Net Amount</t>
  </si>
  <si>
    <t>Max of credit</t>
  </si>
  <si>
    <t>Max of debit</t>
  </si>
  <si>
    <t>Row Labels</t>
  </si>
  <si>
    <t>Grand Total</t>
  </si>
  <si>
    <t>(All)</t>
  </si>
  <si>
    <t>Top 5 Spending sources</t>
  </si>
  <si>
    <t>Apr</t>
  </si>
  <si>
    <t>Monthly Trend</t>
  </si>
  <si>
    <t>Sun</t>
  </si>
  <si>
    <t>Mon</t>
  </si>
  <si>
    <t>Tue</t>
  </si>
  <si>
    <t>Wed</t>
  </si>
  <si>
    <t>Thu</t>
  </si>
  <si>
    <t>Fri</t>
  </si>
  <si>
    <t>Sat</t>
  </si>
  <si>
    <t>Weekly Trend</t>
  </si>
  <si>
    <t>Credit Trend</t>
  </si>
  <si>
    <t>Debit Trend</t>
  </si>
  <si>
    <t>Income Source</t>
  </si>
  <si>
    <t>KPI Card</t>
  </si>
  <si>
    <t>Spending</t>
  </si>
  <si>
    <t>Balance</t>
  </si>
  <si>
    <t>Mar</t>
  </si>
  <si>
    <t>Jan</t>
  </si>
  <si>
    <t>Feb</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</si>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</sst>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 ;_-[$$-409]* \-#,##0.00\ ;_-[$$-409]* &quot;-&quot;??_ ;_-@_ "/>
    <numFmt numFmtId="165" formatCode="[$-F800]dddd\,\ mmmm\ dd\,\ yyyy"/>
    <numFmt numFmtId="166"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Bahnschrift"/>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2" borderId="0" xfId="0" applyFill="1"/>
    <xf numFmtId="165" fontId="3" fillId="3" borderId="1" xfId="0" applyNumberFormat="1" applyFont="1" applyFill="1" applyBorder="1" applyAlignment="1">
      <alignment horizontal="right" vertical="center"/>
    </xf>
    <xf numFmtId="14" fontId="3" fillId="3" borderId="1" xfId="0" applyNumberFormat="1" applyFont="1" applyFill="1" applyBorder="1" applyAlignment="1">
      <alignment horizontal="right" vertical="center"/>
    </xf>
    <xf numFmtId="0" fontId="2" fillId="4" borderId="2" xfId="0" applyFont="1" applyFill="1" applyBorder="1"/>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0" fillId="6" borderId="0" xfId="0" applyFill="1"/>
    <xf numFmtId="166" fontId="0" fillId="6" borderId="0" xfId="1" applyNumberFormat="1" applyFont="1" applyFill="1"/>
    <xf numFmtId="0" fontId="0" fillId="0" borderId="0" xfId="0" applyAlignment="1">
      <alignment horizontal="center"/>
    </xf>
    <xf numFmtId="0" fontId="0" fillId="5" borderId="0" xfId="0" applyFill="1" applyAlignment="1">
      <alignment horizontal="center"/>
    </xf>
  </cellXfs>
  <cellStyles count="2">
    <cellStyle name="Currency" xfId="1" builtinId="4"/>
    <cellStyle name="Normal" xfId="0" builtinId="0"/>
  </cellStyles>
  <dxfs count="61">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4" formatCode="_-[$$-409]* #,##0.00_ ;_-[$$-409]* \-#,##0.00\ ;_-[$$-409]* &quot;-&quot;??_ ;_-@_ "/>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7" formatCode="dd/mm/yyyy"/>
    </dxf>
    <dxf>
      <fill>
        <patternFill>
          <bgColor rgb="FF2E3BB6"/>
        </patternFill>
      </fill>
    </dxf>
    <dxf>
      <fill>
        <patternFill>
          <bgColor theme="3"/>
        </patternFill>
      </fill>
    </dxf>
    <dxf>
      <fill>
        <patternFill>
          <bgColor theme="1"/>
        </patternFill>
      </fill>
    </dxf>
    <dxf>
      <fill>
        <patternFill>
          <bgColor rgb="FF121222"/>
        </patternFill>
      </fill>
    </dxf>
    <dxf>
      <fill>
        <patternFill>
          <bgColor rgb="FFFFFFFF"/>
        </patternFill>
      </fill>
    </dxf>
    <dxf>
      <fill>
        <patternFill>
          <bgColor rgb="FF121222"/>
        </patternFill>
      </fill>
    </dxf>
  </dxfs>
  <tableStyles count="4" defaultTableStyle="TableStyleMedium2" defaultPivotStyle="PivotStyleLight16">
    <tableStyle name="imp" pivot="0" table="0" count="10" xr9:uid="{E85435D7-D2F0-4E76-B6DB-844509235EB4}">
      <tableStyleElement type="wholeTable" dxfId="60"/>
      <tableStyleElement type="headerRow" dxfId="59"/>
    </tableStyle>
    <tableStyle name="Slicer Style 1" pivot="0" table="0" count="9" xr9:uid="{E4C5C7EE-7C4F-4C13-90BE-333BB1E58AA0}">
      <tableStyleElement type="wholeTable" dxfId="58"/>
      <tableStyleElement type="headerRow" dxfId="57"/>
    </tableStyle>
    <tableStyle name="Slicer Style 2" pivot="0" table="0" count="1" xr9:uid="{56863742-4243-4863-9D9F-59B4CA281368}">
      <tableStyleElement type="headerRow" dxfId="56"/>
    </tableStyle>
    <tableStyle name="Slicer Style 3" pivot="0" table="0" count="5" xr9:uid="{161E253A-7BF0-4990-8C2A-A75445FB2713}">
      <tableStyleElement type="headerRow" dxfId="55"/>
    </tableStyle>
  </tableStyles>
  <colors>
    <mruColors>
      <color rgb="FF1F92C5"/>
      <color rgb="FFB6D7FF"/>
      <color rgb="FFFFFFFF"/>
      <color rgb="FF252534"/>
      <color rgb="FF056AF1"/>
      <color rgb="FF121222"/>
      <color rgb="FF2E3BB6"/>
    </mruColors>
  </colors>
  <extLst>
    <ext xmlns:x14="http://schemas.microsoft.com/office/spreadsheetml/2009/9/main" uri="{46F421CA-312F-682f-3DD2-61675219B42D}">
      <x14:dxfs count="19">
        <dxf>
          <fill>
            <patternFill>
              <bgColor theme="4" tint="0.59996337778862885"/>
            </patternFill>
          </fill>
        </dxf>
        <dxf>
          <fill>
            <patternFill>
              <bgColor theme="4" tint="0.59996337778862885"/>
            </patternFill>
          </fill>
        </dxf>
        <dxf>
          <fill>
            <patternFill>
              <bgColor theme="4" tint="-0.24994659260841701"/>
            </patternFill>
          </fill>
        </dxf>
        <dxf>
          <fill>
            <patternFill>
              <bgColor theme="4" tint="-0.24994659260841701"/>
            </patternFill>
          </fill>
        </dxf>
        <dxf>
          <fill>
            <patternFill>
              <bgColor rgb="FFFFFFFF"/>
            </patternFill>
          </fill>
        </dxf>
        <dxf>
          <fill>
            <patternFill>
              <bgColor rgb="FFB6D7FF"/>
            </patternFill>
          </fill>
        </dxf>
        <dxf>
          <fill>
            <patternFill>
              <bgColor rgb="FFB6D7FF"/>
            </patternFill>
          </fill>
        </dxf>
        <dxf>
          <fill>
            <patternFill>
              <bgColor rgb="FF056AF1"/>
            </patternFill>
          </fill>
        </dxf>
        <dxf>
          <fill>
            <patternFill>
              <bgColor rgb="FF056AF1"/>
            </patternFill>
          </fill>
        </dxf>
        <dxf>
          <fill>
            <patternFill>
              <bgColor rgb="FF252534"/>
            </patternFill>
          </fill>
        </dxf>
        <dxf>
          <fill>
            <patternFill>
              <bgColor rgb="FF252534"/>
            </patternFill>
          </fill>
        </dxf>
        <dxf>
          <fill>
            <patternFill>
              <bgColor rgb="FFFFFFFF"/>
            </patternFill>
          </fill>
        </dxf>
        <dxf>
          <fill>
            <patternFill>
              <bgColor rgb="FFFFFFFF"/>
            </patternFill>
          </fill>
        </dxf>
        <dxf>
          <fill>
            <patternFill>
              <bgColor rgb="FFB6D7FF"/>
            </patternFill>
          </fill>
        </dxf>
        <dxf>
          <fill>
            <patternFill>
              <bgColor rgb="FFB6D7FF"/>
            </patternFill>
          </fill>
        </dxf>
        <dxf>
          <fill>
            <patternFill>
              <bgColor rgb="FF252534"/>
            </patternFill>
          </fill>
        </dxf>
        <dxf>
          <fill>
            <patternFill>
              <bgColor rgb="FF056AF1"/>
            </patternFill>
          </fill>
        </dxf>
        <dxf>
          <fill>
            <patternFill>
              <bgColor rgb="FF252534"/>
            </patternFill>
          </fill>
        </dxf>
        <dxf>
          <fill>
            <patternFill>
              <bgColor rgb="FF252534"/>
            </patternFill>
          </fill>
        </dxf>
      </x14:dxfs>
    </ext>
    <ext xmlns:x14="http://schemas.microsoft.com/office/spreadsheetml/2009/9/main" uri="{EB79DEF2-80B8-43e5-95BD-54CBDDF9020C}">
      <x14:slicerStyles defaultSlicerStyle="SlicerStyleLight1">
        <x14:slicerStyle name="imp">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UnselectedItemWithNoData" dxfId="12"/>
            <x14:slicerStyleElement type="hoveredSelectedItemWithNoData" dxfId="11"/>
          </x14:slicerStyleElements>
        </x14:slicerStyle>
        <x14:slicerStyle name="Slicer Style 1">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SelectedItemWithNoData" dxfId="4"/>
          </x14:slicerStyleElements>
        </x14:slicerStyle>
        <x14:slicerStyle name="Slicer Style 2"/>
        <x14:slicerStyle name="Slicer Style 3">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dLbls>
          <c:showLegendKey val="0"/>
          <c:showVal val="0"/>
          <c:showCatName val="0"/>
          <c:showSerName val="0"/>
          <c:showPercent val="0"/>
          <c:showBubbleSize val="0"/>
        </c:dLbls>
        <c:marker val="1"/>
        <c:smooth val="0"/>
        <c:axId val="1476120415"/>
        <c:axId val="1476120895"/>
      </c:lineChart>
      <c:catAx>
        <c:axId val="1476120415"/>
        <c:scaling>
          <c:orientation val="minMax"/>
        </c:scaling>
        <c:delete val="1"/>
        <c:axPos val="b"/>
        <c:numFmt formatCode="General" sourceLinked="1"/>
        <c:majorTickMark val="none"/>
        <c:minorTickMark val="none"/>
        <c:tickLblPos val="nextTo"/>
        <c:crossAx val="1476120895"/>
        <c:crosses val="autoZero"/>
        <c:auto val="1"/>
        <c:lblAlgn val="ctr"/>
        <c:lblOffset val="100"/>
        <c:noMultiLvlLbl val="0"/>
      </c:catAx>
      <c:valAx>
        <c:axId val="1476120895"/>
        <c:scaling>
          <c:orientation val="minMax"/>
        </c:scaling>
        <c:delete val="1"/>
        <c:axPos val="l"/>
        <c:numFmt formatCode="General" sourceLinked="1"/>
        <c:majorTickMark val="none"/>
        <c:minorTickMark val="none"/>
        <c:tickLblPos val="nextTo"/>
        <c:crossAx val="14761204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Calculation!$J$18</c:f>
              <c:strCache>
                <c:ptCount val="1"/>
                <c:pt idx="0">
                  <c:v>Total</c:v>
                </c:pt>
              </c:strCache>
            </c:strRef>
          </c:tx>
          <c:spPr>
            <a:ln w="28575" cap="rnd">
              <a:solidFill>
                <a:schemeClr val="accent1"/>
              </a:solidFill>
              <a:round/>
            </a:ln>
            <a:effectLst/>
          </c:spPr>
          <c:marker>
            <c:symbol val="none"/>
          </c:marker>
          <c:cat>
            <c:strRef>
              <c:f>Calculation!$I$19:$I$29</c:f>
              <c:strCache>
                <c:ptCount val="10"/>
                <c:pt idx="0">
                  <c:v>1</c:v>
                </c:pt>
                <c:pt idx="1">
                  <c:v>2</c:v>
                </c:pt>
                <c:pt idx="2">
                  <c:v>3</c:v>
                </c:pt>
                <c:pt idx="3">
                  <c:v>4</c:v>
                </c:pt>
                <c:pt idx="4">
                  <c:v>5</c:v>
                </c:pt>
                <c:pt idx="5">
                  <c:v>6</c:v>
                </c:pt>
                <c:pt idx="6">
                  <c:v>7</c:v>
                </c:pt>
                <c:pt idx="7">
                  <c:v>8</c:v>
                </c:pt>
                <c:pt idx="8">
                  <c:v>9</c:v>
                </c:pt>
                <c:pt idx="9">
                  <c:v>10</c:v>
                </c:pt>
              </c:strCache>
            </c:strRef>
          </c:cat>
          <c:val>
            <c:numRef>
              <c:f>Calculation!$J$19:$J$29</c:f>
              <c:numCache>
                <c:formatCode>_("$"* #,##0_);_("$"* \(#,##0\);_("$"*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C084-4353-95DF-00E77B675044}"/>
            </c:ext>
          </c:extLst>
        </c:ser>
        <c:dLbls>
          <c:showLegendKey val="0"/>
          <c:showVal val="0"/>
          <c:showCatName val="0"/>
          <c:showSerName val="0"/>
          <c:showPercent val="0"/>
          <c:showBubbleSize val="0"/>
        </c:dLbls>
        <c:smooth val="0"/>
        <c:axId val="1006674895"/>
        <c:axId val="1059393999"/>
      </c:lineChart>
      <c:catAx>
        <c:axId val="1006674895"/>
        <c:scaling>
          <c:orientation val="minMax"/>
        </c:scaling>
        <c:delete val="1"/>
        <c:axPos val="b"/>
        <c:numFmt formatCode="General" sourceLinked="1"/>
        <c:majorTickMark val="none"/>
        <c:minorTickMark val="none"/>
        <c:tickLblPos val="nextTo"/>
        <c:crossAx val="1059393999"/>
        <c:crosses val="autoZero"/>
        <c:auto val="1"/>
        <c:lblAlgn val="ctr"/>
        <c:lblOffset val="100"/>
        <c:noMultiLvlLbl val="0"/>
      </c:catAx>
      <c:valAx>
        <c:axId val="1059393999"/>
        <c:scaling>
          <c:orientation val="minMax"/>
        </c:scaling>
        <c:delete val="1"/>
        <c:axPos val="l"/>
        <c:numFmt formatCode="_(&quot;$&quot;* #,##0_);_(&quot;$&quot;* \(#,##0\);_(&quot;$&quot;* &quot;-&quot;??_);_(@_)" sourceLinked="1"/>
        <c:majorTickMark val="none"/>
        <c:minorTickMark val="none"/>
        <c:tickLblPos val="nextTo"/>
        <c:crossAx val="100667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dashboard.xlsx]Calculation!PivotTable6</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Calculation!$J$3</c:f>
              <c:strCache>
                <c:ptCount val="1"/>
                <c:pt idx="0">
                  <c:v>Total</c:v>
                </c:pt>
              </c:strCache>
            </c:strRef>
          </c:tx>
          <c:spPr>
            <a:ln w="28575" cap="rnd">
              <a:solidFill>
                <a:schemeClr val="accent1"/>
              </a:solidFill>
              <a:round/>
            </a:ln>
            <a:effectLst/>
          </c:spPr>
          <c:marker>
            <c:symbol val="none"/>
          </c:marker>
          <c:cat>
            <c:strRef>
              <c:f>Calculation!$I$4:$I$14</c:f>
              <c:strCache>
                <c:ptCount val="10"/>
                <c:pt idx="0">
                  <c:v>1</c:v>
                </c:pt>
                <c:pt idx="1">
                  <c:v>2</c:v>
                </c:pt>
                <c:pt idx="2">
                  <c:v>3</c:v>
                </c:pt>
                <c:pt idx="3">
                  <c:v>4</c:v>
                </c:pt>
                <c:pt idx="4">
                  <c:v>5</c:v>
                </c:pt>
                <c:pt idx="5">
                  <c:v>6</c:v>
                </c:pt>
                <c:pt idx="6">
                  <c:v>7</c:v>
                </c:pt>
                <c:pt idx="7">
                  <c:v>8</c:v>
                </c:pt>
                <c:pt idx="8">
                  <c:v>9</c:v>
                </c:pt>
                <c:pt idx="9">
                  <c:v>10</c:v>
                </c:pt>
              </c:strCache>
            </c:strRef>
          </c:cat>
          <c:val>
            <c:numRef>
              <c:f>Calculation!$J$4:$J$14</c:f>
              <c:numCache>
                <c:formatCode>_("$"* #,##0_);_("$"* \(#,##0\);_("$"*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0"/>
          <c:extLst>
            <c:ext xmlns:c16="http://schemas.microsoft.com/office/drawing/2014/chart" uri="{C3380CC4-5D6E-409C-BE32-E72D297353CC}">
              <c16:uniqueId val="{00000000-9AD6-4F26-8068-53B0C9504920}"/>
            </c:ext>
          </c:extLst>
        </c:ser>
        <c:dLbls>
          <c:showLegendKey val="0"/>
          <c:showVal val="0"/>
          <c:showCatName val="0"/>
          <c:showSerName val="0"/>
          <c:showPercent val="0"/>
          <c:showBubbleSize val="0"/>
        </c:dLbls>
        <c:smooth val="0"/>
        <c:axId val="992145167"/>
        <c:axId val="817741679"/>
      </c:lineChart>
      <c:catAx>
        <c:axId val="992145167"/>
        <c:scaling>
          <c:orientation val="minMax"/>
        </c:scaling>
        <c:delete val="1"/>
        <c:axPos val="b"/>
        <c:numFmt formatCode="General" sourceLinked="1"/>
        <c:majorTickMark val="none"/>
        <c:minorTickMark val="none"/>
        <c:tickLblPos val="nextTo"/>
        <c:crossAx val="817741679"/>
        <c:crosses val="autoZero"/>
        <c:auto val="1"/>
        <c:lblAlgn val="ctr"/>
        <c:lblOffset val="100"/>
        <c:noMultiLvlLbl val="0"/>
      </c:catAx>
      <c:valAx>
        <c:axId val="817741679"/>
        <c:scaling>
          <c:orientation val="minMax"/>
        </c:scaling>
        <c:delete val="1"/>
        <c:axPos val="l"/>
        <c:numFmt formatCode="_(&quot;$&quot;* #,##0_);_(&quot;$&quot;* \(#,##0\);_(&quot;$&quot;* &quot;-&quot;??_);_(@_)" sourceLinked="1"/>
        <c:majorTickMark val="none"/>
        <c:minorTickMark val="none"/>
        <c:tickLblPos val="nextTo"/>
        <c:crossAx val="99214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dashboard.xlsx]Calculation!PivotTable8</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dLbl>
          <c:idx val="0"/>
          <c:layout>
            <c:manualLayout>
              <c:x val="-0.19212765635571022"/>
              <c:y val="4.3245466717335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75000"/>
            </a:schemeClr>
          </a:solidFill>
          <a:ln w="19050">
            <a:solidFill>
              <a:schemeClr val="lt1"/>
            </a:solidFill>
          </a:ln>
          <a:effectLst/>
        </c:spPr>
        <c:dLbl>
          <c:idx val="0"/>
          <c:layout>
            <c:manualLayout>
              <c:x val="0.1653191461665412"/>
              <c:y val="-7.78418400912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lumOff val="40000"/>
            </a:schemeClr>
          </a:solidFill>
          <a:ln w="19050">
            <a:solidFill>
              <a:schemeClr val="lt1"/>
            </a:solidFill>
          </a:ln>
          <a:effectLst/>
        </c:spPr>
        <c:dLbl>
          <c:idx val="0"/>
          <c:layout>
            <c:manualLayout>
              <c:x val="0.16531914616654128"/>
              <c:y val="0.190280053556275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w="19050">
            <a:solidFill>
              <a:schemeClr val="lt1"/>
            </a:solidFill>
          </a:ln>
          <a:effectLst/>
        </c:spPr>
        <c:dLbl>
          <c:idx val="0"/>
          <c:layout>
            <c:manualLayout>
              <c:x val="-0.19212765635571022"/>
              <c:y val="4.3245466717335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w="19050">
            <a:solidFill>
              <a:schemeClr val="lt1"/>
            </a:solidFill>
          </a:ln>
          <a:effectLst/>
        </c:spPr>
        <c:dLbl>
          <c:idx val="0"/>
          <c:layout>
            <c:manualLayout>
              <c:x val="0.1653191461665412"/>
              <c:y val="-7.78418400912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w="19050">
            <a:solidFill>
              <a:schemeClr val="lt1"/>
            </a:solidFill>
          </a:ln>
          <a:effectLst/>
        </c:spPr>
        <c:dLbl>
          <c:idx val="0"/>
          <c:layout>
            <c:manualLayout>
              <c:x val="0.16531914616654128"/>
              <c:y val="0.190280053556275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E3BB6"/>
          </a:solidFill>
          <a:ln w="19050">
            <a:solidFill>
              <a:srgbClr val="056AF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E3BB6"/>
          </a:solidFill>
          <a:ln w="19050">
            <a:solidFill>
              <a:srgbClr val="056AF1"/>
            </a:solidFill>
          </a:ln>
          <a:effectLst/>
        </c:spPr>
        <c:dLbl>
          <c:idx val="0"/>
          <c:layout>
            <c:manualLayout>
              <c:x val="-0.16085106113501321"/>
              <c:y val="1.7298186686934149E-2"/>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1F92C5"/>
          </a:solidFill>
          <a:ln w="19050">
            <a:solidFill>
              <a:srgbClr val="B6D7FF"/>
            </a:solidFill>
          </a:ln>
          <a:effectLst/>
        </c:spPr>
        <c:dLbl>
          <c:idx val="0"/>
          <c:layout>
            <c:manualLayout>
              <c:x val="0.14297872100890063"/>
              <c:y val="-9.514002677813786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2F85453-78AE-45EF-BF8C-DD2272CDDD71}" type="CATEGORYNAME">
                  <a:rPr lang="en-US">
                    <a:solidFill>
                      <a:schemeClr val="bg1"/>
                    </a:solidFill>
                  </a:rPr>
                  <a:pPr>
                    <a:defRPr/>
                  </a:pPr>
                  <a:t>[CATEGORY NAME]</a:t>
                </a:fld>
                <a:r>
                  <a:rPr lang="en-US" baseline="0">
                    <a:solidFill>
                      <a:schemeClr val="bg1"/>
                    </a:solidFill>
                  </a:rPr>
                  <a:t>
</a:t>
                </a:r>
                <a:fld id="{4B49472C-19C1-425F-83DE-EAE7A81CF0E3}"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bg1">
              <a:lumMod val="65000"/>
            </a:schemeClr>
          </a:solidFill>
          <a:ln w="19050">
            <a:solidFill>
              <a:schemeClr val="bg1">
                <a:lumMod val="95000"/>
              </a:schemeClr>
            </a:solidFill>
          </a:ln>
          <a:effectLst/>
        </c:spPr>
        <c:dLbl>
          <c:idx val="0"/>
          <c:layout>
            <c:manualLayout>
              <c:x val="0.14744680604042879"/>
              <c:y val="0.12108730680853903"/>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Calculation!$C$16</c:f>
              <c:strCache>
                <c:ptCount val="1"/>
                <c:pt idx="0">
                  <c:v>Total</c:v>
                </c:pt>
              </c:strCache>
            </c:strRef>
          </c:tx>
          <c:spPr>
            <a:solidFill>
              <a:srgbClr val="2E3BB6"/>
            </a:solidFill>
            <a:ln>
              <a:solidFill>
                <a:srgbClr val="056AF1"/>
              </a:solidFill>
            </a:ln>
          </c:spPr>
          <c:explosion val="6"/>
          <c:dPt>
            <c:idx val="0"/>
            <c:bubble3D val="0"/>
            <c:explosion val="5"/>
            <c:spPr>
              <a:solidFill>
                <a:srgbClr val="2E3BB6"/>
              </a:solidFill>
              <a:ln w="19050">
                <a:solidFill>
                  <a:srgbClr val="056AF1"/>
                </a:solidFill>
              </a:ln>
              <a:effectLst/>
            </c:spPr>
            <c:extLst>
              <c:ext xmlns:c16="http://schemas.microsoft.com/office/drawing/2014/chart" uri="{C3380CC4-5D6E-409C-BE32-E72D297353CC}">
                <c16:uniqueId val="{00000001-69EB-4527-8B8E-11BBF5462C79}"/>
              </c:ext>
            </c:extLst>
          </c:dPt>
          <c:dPt>
            <c:idx val="1"/>
            <c:bubble3D val="0"/>
            <c:spPr>
              <a:solidFill>
                <a:srgbClr val="1F92C5"/>
              </a:solidFill>
              <a:ln w="19050">
                <a:solidFill>
                  <a:srgbClr val="B6D7FF"/>
                </a:solidFill>
              </a:ln>
              <a:effectLst/>
            </c:spPr>
            <c:extLst>
              <c:ext xmlns:c16="http://schemas.microsoft.com/office/drawing/2014/chart" uri="{C3380CC4-5D6E-409C-BE32-E72D297353CC}">
                <c16:uniqueId val="{00000003-69EB-4527-8B8E-11BBF5462C79}"/>
              </c:ext>
            </c:extLst>
          </c:dPt>
          <c:dPt>
            <c:idx val="2"/>
            <c:bubble3D val="0"/>
            <c:spPr>
              <a:solidFill>
                <a:schemeClr val="bg1">
                  <a:lumMod val="65000"/>
                </a:schemeClr>
              </a:solidFill>
              <a:ln w="19050">
                <a:solidFill>
                  <a:schemeClr val="bg1">
                    <a:lumMod val="95000"/>
                  </a:schemeClr>
                </a:solidFill>
              </a:ln>
              <a:effectLst/>
            </c:spPr>
            <c:extLst>
              <c:ext xmlns:c16="http://schemas.microsoft.com/office/drawing/2014/chart" uri="{C3380CC4-5D6E-409C-BE32-E72D297353CC}">
                <c16:uniqueId val="{00000005-69EB-4527-8B8E-11BBF5462C79}"/>
              </c:ext>
            </c:extLst>
          </c:dPt>
          <c:dLbls>
            <c:dLbl>
              <c:idx val="0"/>
              <c:layout>
                <c:manualLayout>
                  <c:x val="-0.16085106113501321"/>
                  <c:y val="1.7298186686934149E-2"/>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69EB-4527-8B8E-11BBF5462C79}"/>
                </c:ext>
              </c:extLst>
            </c:dLbl>
            <c:dLbl>
              <c:idx val="1"/>
              <c:layout>
                <c:manualLayout>
                  <c:x val="0.14297872100890063"/>
                  <c:y val="-9.514002677813786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2F85453-78AE-45EF-BF8C-DD2272CDDD71}" type="CATEGORYNAME">
                      <a:rPr lang="en-US">
                        <a:solidFill>
                          <a:schemeClr val="bg1"/>
                        </a:solidFill>
                      </a:rPr>
                      <a:pPr>
                        <a:defRPr/>
                      </a:pPr>
                      <a:t>[CATEGORY NAME]</a:t>
                    </a:fld>
                    <a:r>
                      <a:rPr lang="en-US" baseline="0">
                        <a:solidFill>
                          <a:schemeClr val="bg1"/>
                        </a:solidFill>
                      </a:rPr>
                      <a:t>
</a:t>
                    </a:r>
                    <a:fld id="{4B49472C-19C1-425F-83DE-EAE7A81CF0E3}"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69EB-4527-8B8E-11BBF5462C79}"/>
                </c:ext>
              </c:extLst>
            </c:dLbl>
            <c:dLbl>
              <c:idx val="2"/>
              <c:layout>
                <c:manualLayout>
                  <c:x val="0.14744680604042879"/>
                  <c:y val="0.12108730680853903"/>
                </c:manualLayout>
              </c:layout>
              <c:spPr>
                <a:noFill/>
                <a:ln>
                  <a:no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69EB-4527-8B8E-11BBF5462C7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Calculation!$B$17:$B$20</c:f>
              <c:strCache>
                <c:ptCount val="3"/>
                <c:pt idx="0">
                  <c:v>Data with Decision</c:v>
                </c:pt>
                <c:pt idx="1">
                  <c:v>YouTube</c:v>
                </c:pt>
                <c:pt idx="2">
                  <c:v>Teachable</c:v>
                </c:pt>
              </c:strCache>
            </c:strRef>
          </c:cat>
          <c:val>
            <c:numRef>
              <c:f>Calculation!$C$17:$C$20</c:f>
              <c:numCache>
                <c:formatCode>_("$"* #,##0_);_("$"* \(#,##0\);_("$"* "-"??_);_(@_)</c:formatCode>
                <c:ptCount val="3"/>
                <c:pt idx="0">
                  <c:v>50000</c:v>
                </c:pt>
                <c:pt idx="1">
                  <c:v>10940</c:v>
                </c:pt>
                <c:pt idx="2">
                  <c:v>4500</c:v>
                </c:pt>
              </c:numCache>
            </c:numRef>
          </c:val>
          <c:extLst>
            <c:ext xmlns:c16="http://schemas.microsoft.com/office/drawing/2014/chart" uri="{C3380CC4-5D6E-409C-BE32-E72D297353CC}">
              <c16:uniqueId val="{00000006-69EB-4527-8B8E-11BBF5462C79}"/>
            </c:ext>
          </c:extLst>
        </c:ser>
        <c:dLbls>
          <c:showLegendKey val="0"/>
          <c:showVal val="0"/>
          <c:showCatName val="0"/>
          <c:showSerName val="0"/>
          <c:showPercent val="0"/>
          <c:showBubbleSize val="0"/>
          <c:showLeaderLines val="0"/>
        </c:dLbls>
        <c:firstSliceAng val="13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dashboard.xlsx]Calculation!PivotTable4</c:name>
    <c:fmtId val="16"/>
  </c:pivotSource>
  <c:chart>
    <c:autoTitleDeleted val="1"/>
    <c:pivotFmts>
      <c:pivotFmt>
        <c:idx val="0"/>
        <c:spPr>
          <a:solidFill>
            <a:srgbClr val="B6D7FF">
              <a:alpha val="91000"/>
            </a:srgbClr>
          </a:solidFill>
          <a:ln>
            <a:solidFill>
              <a:schemeClr val="lt1">
                <a:shade val="50000"/>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56A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6A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6D7FF">
              <a:alpha val="91000"/>
            </a:srgbClr>
          </a:solidFill>
          <a:ln>
            <a:solidFill>
              <a:schemeClr val="lt1">
                <a:shade val="50000"/>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56A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6D7FF">
              <a:alpha val="91000"/>
            </a:srgbClr>
          </a:solidFill>
          <a:ln>
            <a:solidFill>
              <a:schemeClr val="lt1">
                <a:shade val="50000"/>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Calculation!$C$36</c:f>
              <c:strCache>
                <c:ptCount val="1"/>
                <c:pt idx="0">
                  <c:v>Spending</c:v>
                </c:pt>
              </c:strCache>
            </c:strRef>
          </c:tx>
          <c:spPr>
            <a:solidFill>
              <a:srgbClr val="056AF1"/>
            </a:solidFill>
            <a:ln>
              <a:noFill/>
            </a:ln>
            <a:effectLst/>
          </c:spPr>
          <c:invertIfNegative val="0"/>
          <c:cat>
            <c:strRef>
              <c:f>Calculation!$B$37:$B$47</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Calculation!$C$37:$C$47</c:f>
              <c:numCache>
                <c:formatCode>_("$"* #,##0_);_("$"* \(#,##0\);_("$"*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AF8D-46DA-AF82-03DF1AE5E4AE}"/>
            </c:ext>
          </c:extLst>
        </c:ser>
        <c:ser>
          <c:idx val="1"/>
          <c:order val="1"/>
          <c:tx>
            <c:strRef>
              <c:f>Calculation!$D$36</c:f>
              <c:strCache>
                <c:ptCount val="1"/>
                <c:pt idx="0">
                  <c:v>Income</c:v>
                </c:pt>
              </c:strCache>
            </c:strRef>
          </c:tx>
          <c:spPr>
            <a:solidFill>
              <a:srgbClr val="B6D7FF">
                <a:alpha val="91000"/>
              </a:srgbClr>
            </a:solidFill>
            <a:ln>
              <a:solidFill>
                <a:schemeClr val="lt1">
                  <a:shade val="50000"/>
                  <a:alpha val="81000"/>
                </a:schemeClr>
              </a:solidFill>
            </a:ln>
            <a:effectLst/>
          </c:spPr>
          <c:invertIfNegative val="0"/>
          <c:cat>
            <c:strRef>
              <c:f>Calculation!$B$37:$B$47</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Calculation!$D$37:$D$47</c:f>
              <c:numCache>
                <c:formatCode>_("$"* #,##0_);_("$"* \(#,##0\);_("$"*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1-AF8D-46DA-AF82-03DF1AE5E4AE}"/>
            </c:ext>
          </c:extLst>
        </c:ser>
        <c:dLbls>
          <c:showLegendKey val="0"/>
          <c:showVal val="0"/>
          <c:showCatName val="0"/>
          <c:showSerName val="0"/>
          <c:showPercent val="0"/>
          <c:showBubbleSize val="0"/>
        </c:dLbls>
        <c:gapWidth val="219"/>
        <c:overlap val="100"/>
        <c:axId val="1528626895"/>
        <c:axId val="1440113039"/>
      </c:barChart>
      <c:catAx>
        <c:axId val="1528626895"/>
        <c:scaling>
          <c:orientation val="minMax"/>
        </c:scaling>
        <c:delete val="0"/>
        <c:axPos val="b"/>
        <c:numFmt formatCode="General" sourceLinked="0"/>
        <c:majorTickMark val="out"/>
        <c:minorTickMark val="none"/>
        <c:tickLblPos val="nextTo"/>
        <c:spPr>
          <a:noFill/>
          <a:ln w="6350"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40113039"/>
        <c:crosses val="autoZero"/>
        <c:auto val="1"/>
        <c:lblAlgn val="ctr"/>
        <c:lblOffset val="100"/>
        <c:noMultiLvlLbl val="0"/>
      </c:catAx>
      <c:valAx>
        <c:axId val="1440113039"/>
        <c:scaling>
          <c:orientation val="minMax"/>
          <c:max val="15000"/>
          <c:min val="0"/>
        </c:scaling>
        <c:delete val="0"/>
        <c:axPos val="l"/>
        <c:majorGridlines>
          <c:spPr>
            <a:ln w="9525" cap="flat" cmpd="sng" algn="ctr">
              <a:solidFill>
                <a:schemeClr val="accent1">
                  <a:lumMod val="75000"/>
                </a:schemeClr>
              </a:solidFill>
              <a:prstDash val="sysDot"/>
              <a:round/>
              <a:headEnd type="none"/>
              <a:tailEnd type="none"/>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8626895"/>
        <c:crosses val="autoZero"/>
        <c:crossBetween val="between"/>
        <c:majorUnit val="5000"/>
      </c:valAx>
      <c:spPr>
        <a:noFill/>
        <a:ln>
          <a:noFill/>
        </a:ln>
        <a:effectLst/>
      </c:spPr>
    </c:plotArea>
    <c:legend>
      <c:legendPos val="t"/>
      <c:layout>
        <c:manualLayout>
          <c:xMode val="edge"/>
          <c:yMode val="edge"/>
          <c:x val="7.3163396013441753E-2"/>
          <c:y val="3.7562726240558945E-2"/>
          <c:w val="0.33639760060537366"/>
          <c:h val="7.92344302314876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dashboard.xlsx]Calculation!PivotTable5</c:name>
    <c:fmtId val="3"/>
  </c:pivotSource>
  <c:chart>
    <c:autoTitleDeleted val="0"/>
    <c:pivotFmts>
      <c:pivotFmt>
        <c:idx val="0"/>
        <c:spPr>
          <a:solidFill>
            <a:srgbClr val="1F92C5"/>
          </a:solidFill>
          <a:ln>
            <a:solidFill>
              <a:srgbClr val="1F92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6D7FF"/>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92C5"/>
          </a:solidFill>
          <a:ln>
            <a:solidFill>
              <a:srgbClr val="1F92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6D7FF"/>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92C5"/>
          </a:solidFill>
          <a:ln>
            <a:solidFill>
              <a:srgbClr val="1F92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6D7FF"/>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Calculation!$G$36</c:f>
              <c:strCache>
                <c:ptCount val="1"/>
                <c:pt idx="0">
                  <c:v>Income</c:v>
                </c:pt>
              </c:strCache>
            </c:strRef>
          </c:tx>
          <c:spPr>
            <a:solidFill>
              <a:srgbClr val="1F92C5"/>
            </a:solidFill>
            <a:ln>
              <a:solidFill>
                <a:srgbClr val="1F92C5"/>
              </a:solidFill>
            </a:ln>
            <a:effectLst/>
          </c:spPr>
          <c:invertIfNegative val="0"/>
          <c:cat>
            <c:strRef>
              <c:f>Calculation!$F$37:$F$44</c:f>
              <c:strCache>
                <c:ptCount val="7"/>
                <c:pt idx="0">
                  <c:v>Sun</c:v>
                </c:pt>
                <c:pt idx="1">
                  <c:v>Mon</c:v>
                </c:pt>
                <c:pt idx="2">
                  <c:v>Tue</c:v>
                </c:pt>
                <c:pt idx="3">
                  <c:v>Wed</c:v>
                </c:pt>
                <c:pt idx="4">
                  <c:v>Thu</c:v>
                </c:pt>
                <c:pt idx="5">
                  <c:v>Fri</c:v>
                </c:pt>
                <c:pt idx="6">
                  <c:v>Sat</c:v>
                </c:pt>
              </c:strCache>
            </c:strRef>
          </c:cat>
          <c:val>
            <c:numRef>
              <c:f>Calculation!$G$37:$G$44</c:f>
              <c:numCache>
                <c:formatCode>_("$"* #,##0_);_("$"* \(#,##0\);_("$"* "-"??_);_(@_)</c:formatCode>
                <c:ptCount val="7"/>
                <c:pt idx="0">
                  <c:v>6000</c:v>
                </c:pt>
                <c:pt idx="1">
                  <c:v>31400</c:v>
                </c:pt>
                <c:pt idx="2">
                  <c:v>10300</c:v>
                </c:pt>
                <c:pt idx="3">
                  <c:v>100</c:v>
                </c:pt>
                <c:pt idx="4">
                  <c:v>12340</c:v>
                </c:pt>
                <c:pt idx="5">
                  <c:v>5100</c:v>
                </c:pt>
                <c:pt idx="6">
                  <c:v>200</c:v>
                </c:pt>
              </c:numCache>
            </c:numRef>
          </c:val>
          <c:extLst>
            <c:ext xmlns:c16="http://schemas.microsoft.com/office/drawing/2014/chart" uri="{C3380CC4-5D6E-409C-BE32-E72D297353CC}">
              <c16:uniqueId val="{00000000-63E7-4A68-857E-275F0DCF3DC3}"/>
            </c:ext>
          </c:extLst>
        </c:ser>
        <c:ser>
          <c:idx val="1"/>
          <c:order val="1"/>
          <c:tx>
            <c:strRef>
              <c:f>Calculation!$H$36</c:f>
              <c:strCache>
                <c:ptCount val="1"/>
                <c:pt idx="0">
                  <c:v>Spending</c:v>
                </c:pt>
              </c:strCache>
            </c:strRef>
          </c:tx>
          <c:spPr>
            <a:solidFill>
              <a:srgbClr val="B6D7FF"/>
            </a:solidFill>
            <a:ln>
              <a:solidFill>
                <a:srgbClr val="FFFFFF"/>
              </a:solidFill>
            </a:ln>
            <a:effectLst/>
          </c:spPr>
          <c:invertIfNegative val="0"/>
          <c:cat>
            <c:strRef>
              <c:f>Calculation!$F$37:$F$44</c:f>
              <c:strCache>
                <c:ptCount val="7"/>
                <c:pt idx="0">
                  <c:v>Sun</c:v>
                </c:pt>
                <c:pt idx="1">
                  <c:v>Mon</c:v>
                </c:pt>
                <c:pt idx="2">
                  <c:v>Tue</c:v>
                </c:pt>
                <c:pt idx="3">
                  <c:v>Wed</c:v>
                </c:pt>
                <c:pt idx="4">
                  <c:v>Thu</c:v>
                </c:pt>
                <c:pt idx="5">
                  <c:v>Fri</c:v>
                </c:pt>
                <c:pt idx="6">
                  <c:v>Sat</c:v>
                </c:pt>
              </c:strCache>
            </c:strRef>
          </c:cat>
          <c:val>
            <c:numRef>
              <c:f>Calculation!$H$37:$H$44</c:f>
              <c:numCache>
                <c:formatCode>_("$"* #,##0_);_("$"* \(#,##0\);_("$"* "-"??_);_(@_)</c:formatCode>
                <c:ptCount val="7"/>
                <c:pt idx="0">
                  <c:v>3679.6</c:v>
                </c:pt>
                <c:pt idx="1">
                  <c:v>4703.0000000000018</c:v>
                </c:pt>
                <c:pt idx="2">
                  <c:v>5594.1</c:v>
                </c:pt>
                <c:pt idx="3">
                  <c:v>3564.2999999999997</c:v>
                </c:pt>
                <c:pt idx="4">
                  <c:v>4158.2</c:v>
                </c:pt>
                <c:pt idx="5">
                  <c:v>5050.8</c:v>
                </c:pt>
                <c:pt idx="6">
                  <c:v>3441.0000000000005</c:v>
                </c:pt>
              </c:numCache>
            </c:numRef>
          </c:val>
          <c:extLst>
            <c:ext xmlns:c16="http://schemas.microsoft.com/office/drawing/2014/chart" uri="{C3380CC4-5D6E-409C-BE32-E72D297353CC}">
              <c16:uniqueId val="{00000001-63E7-4A68-857E-275F0DCF3DC3}"/>
            </c:ext>
          </c:extLst>
        </c:ser>
        <c:dLbls>
          <c:showLegendKey val="0"/>
          <c:showVal val="0"/>
          <c:showCatName val="0"/>
          <c:showSerName val="0"/>
          <c:showPercent val="0"/>
          <c:showBubbleSize val="0"/>
        </c:dLbls>
        <c:gapWidth val="219"/>
        <c:overlap val="-27"/>
        <c:axId val="1439511327"/>
        <c:axId val="1440137519"/>
      </c:barChart>
      <c:catAx>
        <c:axId val="143951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0137519"/>
        <c:crosses val="autoZero"/>
        <c:auto val="1"/>
        <c:lblAlgn val="ctr"/>
        <c:lblOffset val="100"/>
        <c:noMultiLvlLbl val="0"/>
      </c:catAx>
      <c:valAx>
        <c:axId val="1440137519"/>
        <c:scaling>
          <c:orientation val="minMax"/>
          <c:max val="40000"/>
        </c:scaling>
        <c:delete val="0"/>
        <c:axPos val="l"/>
        <c:majorGridlines>
          <c:spPr>
            <a:ln w="9525" cap="flat" cmpd="sng" algn="ctr">
              <a:solidFill>
                <a:srgbClr val="1F92C5"/>
              </a:solidFill>
              <a:prstDash val="sysDot"/>
              <a:round/>
            </a:ln>
            <a:effectLst/>
          </c:spPr>
        </c:majorGridlines>
        <c:numFmt formatCode="&quot;$&quot;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9511327"/>
        <c:crosses val="autoZero"/>
        <c:crossBetween val="between"/>
        <c:majorUnit val="10000"/>
      </c:valAx>
      <c:spPr>
        <a:noFill/>
        <a:ln>
          <a:noFill/>
        </a:ln>
        <a:effectLst/>
      </c:spPr>
    </c:plotArea>
    <c:legend>
      <c:legendPos val="t"/>
      <c:layout>
        <c:manualLayout>
          <c:xMode val="edge"/>
          <c:yMode val="edge"/>
          <c:x val="0.46667610249316094"/>
          <c:y val="6.0581840750068436E-2"/>
          <c:w val="0.45481988240256033"/>
          <c:h val="8.7499036908223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dashboard.xlsx]Calculation!PivotTable4</c:name>
    <c:fmtId val="1"/>
  </c:pivotSource>
  <c:chart>
    <c:autoTitleDeleted val="1"/>
    <c:pivotFmts>
      <c:pivotFmt>
        <c:idx val="0"/>
        <c:spPr>
          <a:solidFill>
            <a:srgbClr val="B6D7FF">
              <a:alpha val="91000"/>
            </a:srgbClr>
          </a:solidFill>
          <a:ln>
            <a:solidFill>
              <a:schemeClr val="lt1">
                <a:shade val="50000"/>
                <a:alpha val="8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56A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Calculation!$C$36</c:f>
              <c:strCache>
                <c:ptCount val="1"/>
                <c:pt idx="0">
                  <c:v>Spending</c:v>
                </c:pt>
              </c:strCache>
            </c:strRef>
          </c:tx>
          <c:spPr>
            <a:solidFill>
              <a:srgbClr val="056AF1"/>
            </a:solidFill>
            <a:ln>
              <a:noFill/>
            </a:ln>
            <a:effectLst/>
          </c:spPr>
          <c:invertIfNegative val="0"/>
          <c:cat>
            <c:strRef>
              <c:f>Calculation!$B$37:$B$47</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Calculation!$C$37:$C$47</c:f>
              <c:numCache>
                <c:formatCode>_("$"* #,##0_);_("$"* \(#,##0\);_("$"*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A814-4096-8036-CB39E850BC5B}"/>
            </c:ext>
          </c:extLst>
        </c:ser>
        <c:ser>
          <c:idx val="1"/>
          <c:order val="1"/>
          <c:tx>
            <c:strRef>
              <c:f>Calculation!$D$36</c:f>
              <c:strCache>
                <c:ptCount val="1"/>
                <c:pt idx="0">
                  <c:v>Income</c:v>
                </c:pt>
              </c:strCache>
            </c:strRef>
          </c:tx>
          <c:spPr>
            <a:solidFill>
              <a:srgbClr val="B6D7FF">
                <a:alpha val="91000"/>
              </a:srgbClr>
            </a:solidFill>
            <a:ln>
              <a:solidFill>
                <a:schemeClr val="lt1">
                  <a:shade val="50000"/>
                  <a:alpha val="81000"/>
                </a:schemeClr>
              </a:solidFill>
            </a:ln>
            <a:effectLst/>
          </c:spPr>
          <c:invertIfNegative val="0"/>
          <c:cat>
            <c:strRef>
              <c:f>Calculation!$B$37:$B$47</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Calculation!$D$37:$D$47</c:f>
              <c:numCache>
                <c:formatCode>_("$"* #,##0_);_("$"* \(#,##0\);_("$"*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1-A814-4096-8036-CB39E850BC5B}"/>
            </c:ext>
          </c:extLst>
        </c:ser>
        <c:dLbls>
          <c:showLegendKey val="0"/>
          <c:showVal val="0"/>
          <c:showCatName val="0"/>
          <c:showSerName val="0"/>
          <c:showPercent val="0"/>
          <c:showBubbleSize val="0"/>
        </c:dLbls>
        <c:gapWidth val="219"/>
        <c:overlap val="100"/>
        <c:axId val="1528626895"/>
        <c:axId val="1440113039"/>
      </c:barChart>
      <c:catAx>
        <c:axId val="152862689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13039"/>
        <c:crosses val="autoZero"/>
        <c:auto val="1"/>
        <c:lblAlgn val="ctr"/>
        <c:lblOffset val="100"/>
        <c:noMultiLvlLbl val="0"/>
      </c:catAx>
      <c:valAx>
        <c:axId val="1440113039"/>
        <c:scaling>
          <c:orientation val="minMax"/>
          <c:max val="15000"/>
          <c:min val="0"/>
        </c:scaling>
        <c:delete val="0"/>
        <c:axPos val="l"/>
        <c:majorGridlines>
          <c:spPr>
            <a:ln w="9525" cap="flat" cmpd="sng" algn="ctr">
              <a:solidFill>
                <a:schemeClr val="accent1">
                  <a:lumMod val="75000"/>
                </a:schemeClr>
              </a:solidFill>
              <a:prstDash val="sysDot"/>
              <a:round/>
              <a:headEnd type="oval"/>
              <a:tailEnd type="oval"/>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26895"/>
        <c:crosses val="autoZero"/>
        <c:crossBetween val="between"/>
        <c:majorUnit val="5000"/>
      </c:valAx>
      <c:spPr>
        <a:noFill/>
        <a:ln>
          <a:noFill/>
        </a:ln>
        <a:effectLst/>
      </c:spPr>
    </c:plotArea>
    <c:legend>
      <c:legendPos val="t"/>
      <c:layout>
        <c:manualLayout>
          <c:xMode val="edge"/>
          <c:yMode val="edge"/>
          <c:x val="7.3163396013441753E-2"/>
          <c:y val="3.7562726240558945E-2"/>
          <c:w val="0.33639760060537366"/>
          <c:h val="7.92344302314876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dashboard.xlsx]Calculation!PivotTable5</c:name>
    <c:fmtId val="1"/>
  </c:pivotSource>
  <c:chart>
    <c:autoTitleDeleted val="0"/>
    <c:pivotFmts>
      <c:pivotFmt>
        <c:idx val="0"/>
        <c:spPr>
          <a:solidFill>
            <a:srgbClr val="1F92C5"/>
          </a:solidFill>
          <a:ln>
            <a:solidFill>
              <a:srgbClr val="1F92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6D7FF"/>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Calculation!$G$36</c:f>
              <c:strCache>
                <c:ptCount val="1"/>
                <c:pt idx="0">
                  <c:v>Income</c:v>
                </c:pt>
              </c:strCache>
            </c:strRef>
          </c:tx>
          <c:spPr>
            <a:solidFill>
              <a:srgbClr val="1F92C5"/>
            </a:solidFill>
            <a:ln>
              <a:solidFill>
                <a:srgbClr val="1F92C5"/>
              </a:solidFill>
            </a:ln>
            <a:effectLst/>
          </c:spPr>
          <c:invertIfNegative val="0"/>
          <c:cat>
            <c:strRef>
              <c:f>Calculation!$F$37:$F$44</c:f>
              <c:strCache>
                <c:ptCount val="7"/>
                <c:pt idx="0">
                  <c:v>Sun</c:v>
                </c:pt>
                <c:pt idx="1">
                  <c:v>Mon</c:v>
                </c:pt>
                <c:pt idx="2">
                  <c:v>Tue</c:v>
                </c:pt>
                <c:pt idx="3">
                  <c:v>Wed</c:v>
                </c:pt>
                <c:pt idx="4">
                  <c:v>Thu</c:v>
                </c:pt>
                <c:pt idx="5">
                  <c:v>Fri</c:v>
                </c:pt>
                <c:pt idx="6">
                  <c:v>Sat</c:v>
                </c:pt>
              </c:strCache>
            </c:strRef>
          </c:cat>
          <c:val>
            <c:numRef>
              <c:f>Calculation!$G$37:$G$44</c:f>
              <c:numCache>
                <c:formatCode>_("$"* #,##0_);_("$"* \(#,##0\);_("$"* "-"??_);_(@_)</c:formatCode>
                <c:ptCount val="7"/>
                <c:pt idx="0">
                  <c:v>6000</c:v>
                </c:pt>
                <c:pt idx="1">
                  <c:v>31400</c:v>
                </c:pt>
                <c:pt idx="2">
                  <c:v>10300</c:v>
                </c:pt>
                <c:pt idx="3">
                  <c:v>100</c:v>
                </c:pt>
                <c:pt idx="4">
                  <c:v>12340</c:v>
                </c:pt>
                <c:pt idx="5">
                  <c:v>5100</c:v>
                </c:pt>
                <c:pt idx="6">
                  <c:v>200</c:v>
                </c:pt>
              </c:numCache>
            </c:numRef>
          </c:val>
          <c:extLst>
            <c:ext xmlns:c16="http://schemas.microsoft.com/office/drawing/2014/chart" uri="{C3380CC4-5D6E-409C-BE32-E72D297353CC}">
              <c16:uniqueId val="{00000000-A19E-4FFC-B7BB-FD0E77921B2B}"/>
            </c:ext>
          </c:extLst>
        </c:ser>
        <c:ser>
          <c:idx val="1"/>
          <c:order val="1"/>
          <c:tx>
            <c:strRef>
              <c:f>Calculation!$H$36</c:f>
              <c:strCache>
                <c:ptCount val="1"/>
                <c:pt idx="0">
                  <c:v>Spending</c:v>
                </c:pt>
              </c:strCache>
            </c:strRef>
          </c:tx>
          <c:spPr>
            <a:solidFill>
              <a:srgbClr val="B6D7FF"/>
            </a:solidFill>
            <a:ln>
              <a:solidFill>
                <a:srgbClr val="FFFFFF"/>
              </a:solidFill>
            </a:ln>
            <a:effectLst/>
          </c:spPr>
          <c:invertIfNegative val="0"/>
          <c:cat>
            <c:strRef>
              <c:f>Calculation!$F$37:$F$44</c:f>
              <c:strCache>
                <c:ptCount val="7"/>
                <c:pt idx="0">
                  <c:v>Sun</c:v>
                </c:pt>
                <c:pt idx="1">
                  <c:v>Mon</c:v>
                </c:pt>
                <c:pt idx="2">
                  <c:v>Tue</c:v>
                </c:pt>
                <c:pt idx="3">
                  <c:v>Wed</c:v>
                </c:pt>
                <c:pt idx="4">
                  <c:v>Thu</c:v>
                </c:pt>
                <c:pt idx="5">
                  <c:v>Fri</c:v>
                </c:pt>
                <c:pt idx="6">
                  <c:v>Sat</c:v>
                </c:pt>
              </c:strCache>
            </c:strRef>
          </c:cat>
          <c:val>
            <c:numRef>
              <c:f>Calculation!$H$37:$H$44</c:f>
              <c:numCache>
                <c:formatCode>_("$"* #,##0_);_("$"* \(#,##0\);_("$"* "-"??_);_(@_)</c:formatCode>
                <c:ptCount val="7"/>
                <c:pt idx="0">
                  <c:v>3679.6</c:v>
                </c:pt>
                <c:pt idx="1">
                  <c:v>4703.0000000000018</c:v>
                </c:pt>
                <c:pt idx="2">
                  <c:v>5594.1</c:v>
                </c:pt>
                <c:pt idx="3">
                  <c:v>3564.2999999999997</c:v>
                </c:pt>
                <c:pt idx="4">
                  <c:v>4158.2</c:v>
                </c:pt>
                <c:pt idx="5">
                  <c:v>5050.8</c:v>
                </c:pt>
                <c:pt idx="6">
                  <c:v>3441.0000000000005</c:v>
                </c:pt>
              </c:numCache>
            </c:numRef>
          </c:val>
          <c:extLst>
            <c:ext xmlns:c16="http://schemas.microsoft.com/office/drawing/2014/chart" uri="{C3380CC4-5D6E-409C-BE32-E72D297353CC}">
              <c16:uniqueId val="{00000001-A19E-4FFC-B7BB-FD0E77921B2B}"/>
            </c:ext>
          </c:extLst>
        </c:ser>
        <c:dLbls>
          <c:showLegendKey val="0"/>
          <c:showVal val="0"/>
          <c:showCatName val="0"/>
          <c:showSerName val="0"/>
          <c:showPercent val="0"/>
          <c:showBubbleSize val="0"/>
        </c:dLbls>
        <c:gapWidth val="219"/>
        <c:overlap val="-27"/>
        <c:axId val="1439511327"/>
        <c:axId val="1440137519"/>
      </c:barChart>
      <c:catAx>
        <c:axId val="143951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37519"/>
        <c:crosses val="autoZero"/>
        <c:auto val="1"/>
        <c:lblAlgn val="ctr"/>
        <c:lblOffset val="100"/>
        <c:noMultiLvlLbl val="0"/>
      </c:catAx>
      <c:valAx>
        <c:axId val="1440137519"/>
        <c:scaling>
          <c:orientation val="minMax"/>
          <c:max val="40000"/>
        </c:scaling>
        <c:delete val="0"/>
        <c:axPos val="l"/>
        <c:majorGridlines>
          <c:spPr>
            <a:ln w="9525" cap="flat" cmpd="sng" algn="ctr">
              <a:solidFill>
                <a:srgbClr val="1F92C5"/>
              </a:solidFill>
              <a:prstDash val="sysDot"/>
              <a:round/>
            </a:ln>
            <a:effectLst/>
          </c:spPr>
        </c:majorGridlines>
        <c:numFmt formatCode="&quot;$&quot;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11327"/>
        <c:crosses val="autoZero"/>
        <c:crossBetween val="between"/>
        <c:majorUnit val="10000"/>
      </c:valAx>
      <c:spPr>
        <a:noFill/>
        <a:ln>
          <a:noFill/>
        </a:ln>
        <a:effectLst/>
      </c:spPr>
    </c:plotArea>
    <c:legend>
      <c:legendPos val="t"/>
      <c:layout>
        <c:manualLayout>
          <c:xMode val="edge"/>
          <c:yMode val="edge"/>
          <c:x val="0.70341151519846246"/>
          <c:y val="2.823529411764706E-2"/>
          <c:w val="0.25789380023322661"/>
          <c:h val="7.94123205187586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Calculation!$J$3</c:f>
              <c:strCache>
                <c:ptCount val="1"/>
                <c:pt idx="0">
                  <c:v>Total</c:v>
                </c:pt>
              </c:strCache>
            </c:strRef>
          </c:tx>
          <c:spPr>
            <a:ln w="28575" cap="rnd">
              <a:solidFill>
                <a:schemeClr val="accent1"/>
              </a:solidFill>
              <a:round/>
            </a:ln>
            <a:effectLst/>
          </c:spPr>
          <c:marker>
            <c:symbol val="none"/>
          </c:marker>
          <c:cat>
            <c:strRef>
              <c:f>Calculation!$I$4:$I$14</c:f>
              <c:strCache>
                <c:ptCount val="10"/>
                <c:pt idx="0">
                  <c:v>1</c:v>
                </c:pt>
                <c:pt idx="1">
                  <c:v>2</c:v>
                </c:pt>
                <c:pt idx="2">
                  <c:v>3</c:v>
                </c:pt>
                <c:pt idx="3">
                  <c:v>4</c:v>
                </c:pt>
                <c:pt idx="4">
                  <c:v>5</c:v>
                </c:pt>
                <c:pt idx="5">
                  <c:v>6</c:v>
                </c:pt>
                <c:pt idx="6">
                  <c:v>7</c:v>
                </c:pt>
                <c:pt idx="7">
                  <c:v>8</c:v>
                </c:pt>
                <c:pt idx="8">
                  <c:v>9</c:v>
                </c:pt>
                <c:pt idx="9">
                  <c:v>10</c:v>
                </c:pt>
              </c:strCache>
            </c:strRef>
          </c:cat>
          <c:val>
            <c:numRef>
              <c:f>Calculation!$J$4:$J$14</c:f>
              <c:numCache>
                <c:formatCode>_("$"* #,##0_);_("$"* \(#,##0\);_("$"*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0"/>
          <c:extLst>
            <c:ext xmlns:c16="http://schemas.microsoft.com/office/drawing/2014/chart" uri="{C3380CC4-5D6E-409C-BE32-E72D297353CC}">
              <c16:uniqueId val="{00000000-C72C-49F4-8C3D-44A6EE9F33E7}"/>
            </c:ext>
          </c:extLst>
        </c:ser>
        <c:dLbls>
          <c:showLegendKey val="0"/>
          <c:showVal val="0"/>
          <c:showCatName val="0"/>
          <c:showSerName val="0"/>
          <c:showPercent val="0"/>
          <c:showBubbleSize val="0"/>
        </c:dLbls>
        <c:smooth val="0"/>
        <c:axId val="992145167"/>
        <c:axId val="817741679"/>
      </c:lineChart>
      <c:catAx>
        <c:axId val="992145167"/>
        <c:scaling>
          <c:orientation val="minMax"/>
        </c:scaling>
        <c:delete val="1"/>
        <c:axPos val="b"/>
        <c:numFmt formatCode="General" sourceLinked="1"/>
        <c:majorTickMark val="none"/>
        <c:minorTickMark val="none"/>
        <c:tickLblPos val="nextTo"/>
        <c:crossAx val="817741679"/>
        <c:crosses val="autoZero"/>
        <c:auto val="1"/>
        <c:lblAlgn val="ctr"/>
        <c:lblOffset val="100"/>
        <c:noMultiLvlLbl val="0"/>
      </c:catAx>
      <c:valAx>
        <c:axId val="817741679"/>
        <c:scaling>
          <c:orientation val="minMax"/>
        </c:scaling>
        <c:delete val="1"/>
        <c:axPos val="l"/>
        <c:numFmt formatCode="_(&quot;$&quot;* #,##0_);_(&quot;$&quot;* \(#,##0\);_(&quot;$&quot;* &quot;-&quot;??_);_(@_)" sourceLinked="1"/>
        <c:majorTickMark val="none"/>
        <c:minorTickMark val="none"/>
        <c:tickLblPos val="nextTo"/>
        <c:crossAx val="99214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dashboard.xlsx]Calculation!PivotTable7</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Calculation!$J$18</c:f>
              <c:strCache>
                <c:ptCount val="1"/>
                <c:pt idx="0">
                  <c:v>Total</c:v>
                </c:pt>
              </c:strCache>
            </c:strRef>
          </c:tx>
          <c:spPr>
            <a:ln w="28575" cap="rnd">
              <a:solidFill>
                <a:schemeClr val="accent1"/>
              </a:solidFill>
              <a:round/>
            </a:ln>
            <a:effectLst/>
          </c:spPr>
          <c:marker>
            <c:symbol val="none"/>
          </c:marker>
          <c:cat>
            <c:strRef>
              <c:f>Calculation!$I$19:$I$29</c:f>
              <c:strCache>
                <c:ptCount val="10"/>
                <c:pt idx="0">
                  <c:v>1</c:v>
                </c:pt>
                <c:pt idx="1">
                  <c:v>2</c:v>
                </c:pt>
                <c:pt idx="2">
                  <c:v>3</c:v>
                </c:pt>
                <c:pt idx="3">
                  <c:v>4</c:v>
                </c:pt>
                <c:pt idx="4">
                  <c:v>5</c:v>
                </c:pt>
                <c:pt idx="5">
                  <c:v>6</c:v>
                </c:pt>
                <c:pt idx="6">
                  <c:v>7</c:v>
                </c:pt>
                <c:pt idx="7">
                  <c:v>8</c:v>
                </c:pt>
                <c:pt idx="8">
                  <c:v>9</c:v>
                </c:pt>
                <c:pt idx="9">
                  <c:v>10</c:v>
                </c:pt>
              </c:strCache>
            </c:strRef>
          </c:cat>
          <c:val>
            <c:numRef>
              <c:f>Calculation!$J$19:$J$29</c:f>
              <c:numCache>
                <c:formatCode>_("$"* #,##0_);_("$"* \(#,##0\);_("$"*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3D8B-46FD-8CF3-AAD1FBDC8801}"/>
            </c:ext>
          </c:extLst>
        </c:ser>
        <c:dLbls>
          <c:showLegendKey val="0"/>
          <c:showVal val="0"/>
          <c:showCatName val="0"/>
          <c:showSerName val="0"/>
          <c:showPercent val="0"/>
          <c:showBubbleSize val="0"/>
        </c:dLbls>
        <c:smooth val="0"/>
        <c:axId val="1006674895"/>
        <c:axId val="1059393999"/>
      </c:lineChart>
      <c:catAx>
        <c:axId val="1006674895"/>
        <c:scaling>
          <c:orientation val="minMax"/>
        </c:scaling>
        <c:delete val="1"/>
        <c:axPos val="b"/>
        <c:numFmt formatCode="General" sourceLinked="1"/>
        <c:majorTickMark val="none"/>
        <c:minorTickMark val="none"/>
        <c:tickLblPos val="nextTo"/>
        <c:crossAx val="1059393999"/>
        <c:crosses val="autoZero"/>
        <c:auto val="1"/>
        <c:lblAlgn val="ctr"/>
        <c:lblOffset val="100"/>
        <c:noMultiLvlLbl val="0"/>
      </c:catAx>
      <c:valAx>
        <c:axId val="1059393999"/>
        <c:scaling>
          <c:orientation val="minMax"/>
        </c:scaling>
        <c:delete val="1"/>
        <c:axPos val="l"/>
        <c:numFmt formatCode="_(&quot;$&quot;* #,##0_);_(&quot;$&quot;* \(#,##0\);_(&quot;$&quot;* &quot;-&quot;??_);_(@_)" sourceLinked="1"/>
        <c:majorTickMark val="none"/>
        <c:minorTickMark val="none"/>
        <c:tickLblPos val="nextTo"/>
        <c:crossAx val="100667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dashboard.xlsx]Calculation!PivotTable8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dLbl>
          <c:idx val="0"/>
          <c:layout>
            <c:manualLayout>
              <c:x val="-0.19212765635571022"/>
              <c:y val="4.3245466717335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75000"/>
            </a:schemeClr>
          </a:solidFill>
          <a:ln w="19050">
            <a:solidFill>
              <a:schemeClr val="lt1"/>
            </a:solidFill>
          </a:ln>
          <a:effectLst/>
        </c:spPr>
        <c:dLbl>
          <c:idx val="0"/>
          <c:layout>
            <c:manualLayout>
              <c:x val="0.1653191461665412"/>
              <c:y val="-7.78418400912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lumOff val="40000"/>
            </a:schemeClr>
          </a:solidFill>
          <a:ln w="19050">
            <a:solidFill>
              <a:schemeClr val="lt1"/>
            </a:solidFill>
          </a:ln>
          <a:effectLst/>
        </c:spPr>
        <c:dLbl>
          <c:idx val="0"/>
          <c:layout>
            <c:manualLayout>
              <c:x val="0.16531914616654128"/>
              <c:y val="0.190280053556275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Calculation!$C$16</c:f>
              <c:strCache>
                <c:ptCount val="1"/>
                <c:pt idx="0">
                  <c:v>Total</c:v>
                </c:pt>
              </c:strCache>
            </c:strRef>
          </c:tx>
          <c:explosion val="6"/>
          <c:dPt>
            <c:idx val="0"/>
            <c:bubble3D val="0"/>
            <c:explosion val="5"/>
            <c:spPr>
              <a:solidFill>
                <a:schemeClr val="accent1">
                  <a:lumMod val="50000"/>
                </a:schemeClr>
              </a:solidFill>
              <a:ln w="19050">
                <a:solidFill>
                  <a:schemeClr val="lt1"/>
                </a:solidFill>
              </a:ln>
              <a:effectLst/>
            </c:spPr>
            <c:extLst>
              <c:ext xmlns:c16="http://schemas.microsoft.com/office/drawing/2014/chart" uri="{C3380CC4-5D6E-409C-BE32-E72D297353CC}">
                <c16:uniqueId val="{00000001-963B-401A-9E0F-C1266FF0748E}"/>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963B-401A-9E0F-C1266FF0748E}"/>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963B-401A-9E0F-C1266FF0748E}"/>
              </c:ext>
            </c:extLst>
          </c:dPt>
          <c:dLbls>
            <c:dLbl>
              <c:idx val="0"/>
              <c:layout>
                <c:manualLayout>
                  <c:x val="-0.19212765635571022"/>
                  <c:y val="4.3245466717335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63B-401A-9E0F-C1266FF0748E}"/>
                </c:ext>
              </c:extLst>
            </c:dLbl>
            <c:dLbl>
              <c:idx val="1"/>
              <c:layout>
                <c:manualLayout>
                  <c:x val="0.1653191461665412"/>
                  <c:y val="-7.78418400912036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63B-401A-9E0F-C1266FF0748E}"/>
                </c:ext>
              </c:extLst>
            </c:dLbl>
            <c:dLbl>
              <c:idx val="2"/>
              <c:layout>
                <c:manualLayout>
                  <c:x val="0.16531914616654128"/>
                  <c:y val="0.190280053556275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63B-401A-9E0F-C1266FF074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Calculation!$B$17:$B$20</c:f>
              <c:strCache>
                <c:ptCount val="3"/>
                <c:pt idx="0">
                  <c:v>Data with Decision</c:v>
                </c:pt>
                <c:pt idx="1">
                  <c:v>YouTube</c:v>
                </c:pt>
                <c:pt idx="2">
                  <c:v>Teachable</c:v>
                </c:pt>
              </c:strCache>
            </c:strRef>
          </c:cat>
          <c:val>
            <c:numRef>
              <c:f>Calculation!$C$17:$C$20</c:f>
              <c:numCache>
                <c:formatCode>_("$"* #,##0_);_("$"* \(#,##0\);_("$"* "-"??_);_(@_)</c:formatCode>
                <c:ptCount val="3"/>
                <c:pt idx="0">
                  <c:v>50000</c:v>
                </c:pt>
                <c:pt idx="1">
                  <c:v>10940</c:v>
                </c:pt>
                <c:pt idx="2">
                  <c:v>4500</c:v>
                </c:pt>
              </c:numCache>
            </c:numRef>
          </c:val>
          <c:extLst>
            <c:ext xmlns:c16="http://schemas.microsoft.com/office/drawing/2014/chart" uri="{C3380CC4-5D6E-409C-BE32-E72D297353CC}">
              <c16:uniqueId val="{00000000-B107-424A-8893-47A69AB35F47}"/>
            </c:ext>
          </c:extLst>
        </c:ser>
        <c:dLbls>
          <c:showLegendKey val="0"/>
          <c:showVal val="0"/>
          <c:showCatName val="0"/>
          <c:showSerName val="0"/>
          <c:showPercent val="0"/>
          <c:showBubbleSize val="0"/>
          <c:showLeaderLines val="0"/>
        </c:dLbls>
        <c:firstSliceAng val="13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set!A1"/><Relationship Id="rId2" Type="http://schemas.openxmlformats.org/officeDocument/2006/relationships/image" Target="../media/image1.png"/><Relationship Id="rId1"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3" Type="http://schemas.openxmlformats.org/officeDocument/2006/relationships/image" Target="../media/image7.png"/><Relationship Id="rId18" Type="http://schemas.openxmlformats.org/officeDocument/2006/relationships/image" Target="../media/image11.png"/><Relationship Id="rId26" Type="http://schemas.openxmlformats.org/officeDocument/2006/relationships/image" Target="../media/image18.png"/><Relationship Id="rId39" Type="http://schemas.openxmlformats.org/officeDocument/2006/relationships/chart" Target="../charts/chart5.xml"/><Relationship Id="rId21" Type="http://schemas.openxmlformats.org/officeDocument/2006/relationships/image" Target="../media/image14.png"/><Relationship Id="rId34" Type="http://schemas.openxmlformats.org/officeDocument/2006/relationships/image" Target="../media/image26.png"/><Relationship Id="rId7" Type="http://schemas.openxmlformats.org/officeDocument/2006/relationships/image" Target="../media/image5.png"/><Relationship Id="rId12" Type="http://schemas.openxmlformats.org/officeDocument/2006/relationships/hyperlink" Target="https://www.linkedin.com/in/jayantsail/" TargetMode="External"/><Relationship Id="rId17" Type="http://schemas.openxmlformats.org/officeDocument/2006/relationships/image" Target="../media/image10.png"/><Relationship Id="rId25" Type="http://schemas.openxmlformats.org/officeDocument/2006/relationships/image" Target="../media/image17.png"/><Relationship Id="rId33" Type="http://schemas.openxmlformats.org/officeDocument/2006/relationships/image" Target="../media/image25.png"/><Relationship Id="rId38" Type="http://schemas.openxmlformats.org/officeDocument/2006/relationships/image" Target="../media/image30.png"/><Relationship Id="rId2" Type="http://schemas.openxmlformats.org/officeDocument/2006/relationships/hyperlink" Target="#Dashboard!A1"/><Relationship Id="rId16" Type="http://schemas.openxmlformats.org/officeDocument/2006/relationships/image" Target="../media/image9.png"/><Relationship Id="rId20" Type="http://schemas.openxmlformats.org/officeDocument/2006/relationships/image" Target="../media/image13.png"/><Relationship Id="rId29" Type="http://schemas.openxmlformats.org/officeDocument/2006/relationships/image" Target="../media/image21.png"/><Relationship Id="rId1" Type="http://schemas.openxmlformats.org/officeDocument/2006/relationships/image" Target="../media/image3.png"/><Relationship Id="rId6" Type="http://schemas.openxmlformats.org/officeDocument/2006/relationships/image" Target="../media/image4.png"/><Relationship Id="rId11" Type="http://schemas.openxmlformats.org/officeDocument/2006/relationships/image" Target="../media/image6.png"/><Relationship Id="rId24" Type="http://schemas.openxmlformats.org/officeDocument/2006/relationships/image" Target="../media/image16.png"/><Relationship Id="rId32" Type="http://schemas.openxmlformats.org/officeDocument/2006/relationships/image" Target="../media/image24.png"/><Relationship Id="rId37" Type="http://schemas.openxmlformats.org/officeDocument/2006/relationships/image" Target="../media/image29.png"/><Relationship Id="rId40" Type="http://schemas.openxmlformats.org/officeDocument/2006/relationships/chart" Target="../charts/chart6.xml"/><Relationship Id="rId5" Type="http://schemas.openxmlformats.org/officeDocument/2006/relationships/image" Target="../media/image2.png"/><Relationship Id="rId15" Type="http://schemas.openxmlformats.org/officeDocument/2006/relationships/image" Target="../media/image8.png"/><Relationship Id="rId23" Type="http://schemas.openxmlformats.org/officeDocument/2006/relationships/chart" Target="../charts/chart4.xml"/><Relationship Id="rId28" Type="http://schemas.openxmlformats.org/officeDocument/2006/relationships/image" Target="../media/image20.png"/><Relationship Id="rId36" Type="http://schemas.openxmlformats.org/officeDocument/2006/relationships/image" Target="../media/image28.png"/><Relationship Id="rId10" Type="http://schemas.openxmlformats.org/officeDocument/2006/relationships/chart" Target="../charts/chart3.xml"/><Relationship Id="rId19" Type="http://schemas.openxmlformats.org/officeDocument/2006/relationships/image" Target="../media/image12.png"/><Relationship Id="rId31" Type="http://schemas.openxmlformats.org/officeDocument/2006/relationships/image" Target="../media/image23.png"/><Relationship Id="rId4" Type="http://schemas.openxmlformats.org/officeDocument/2006/relationships/hyperlink" Target="#Dataset!A1"/><Relationship Id="rId9" Type="http://schemas.openxmlformats.org/officeDocument/2006/relationships/chart" Target="../charts/chart2.xml"/><Relationship Id="rId14" Type="http://schemas.openxmlformats.org/officeDocument/2006/relationships/hyperlink" Target="https://github.com/jayantsail24" TargetMode="External"/><Relationship Id="rId22" Type="http://schemas.openxmlformats.org/officeDocument/2006/relationships/image" Target="../media/image15.png"/><Relationship Id="rId27" Type="http://schemas.openxmlformats.org/officeDocument/2006/relationships/image" Target="../media/image19.png"/><Relationship Id="rId30" Type="http://schemas.openxmlformats.org/officeDocument/2006/relationships/image" Target="../media/image22.png"/><Relationship Id="rId35" Type="http://schemas.openxmlformats.org/officeDocument/2006/relationships/image" Target="../media/image27.png"/><Relationship Id="rId8" Type="http://schemas.openxmlformats.org/officeDocument/2006/relationships/chart" Target="../charts/chart1.xml"/><Relationship Id="rId3"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579120</xdr:colOff>
      <xdr:row>1</xdr:row>
      <xdr:rowOff>132292</xdr:rowOff>
    </xdr:from>
    <xdr:to>
      <xdr:col>8</xdr:col>
      <xdr:colOff>1037187</xdr:colOff>
      <xdr:row>3</xdr:row>
      <xdr:rowOff>182590</xdr:rowOff>
    </xdr:to>
    <xdr:sp macro="" textlink="">
      <xdr:nvSpPr>
        <xdr:cNvPr id="2" name="Flowchart: Terminator 1">
          <a:hlinkClick xmlns:r="http://schemas.openxmlformats.org/officeDocument/2006/relationships" r:id="rId1"/>
          <a:extLst>
            <a:ext uri="{FF2B5EF4-FFF2-40B4-BE49-F238E27FC236}">
              <a16:creationId xmlns:a16="http://schemas.microsoft.com/office/drawing/2014/main" id="{3856CD59-990E-4D37-A7CA-B38F0C27748B}"/>
            </a:ext>
          </a:extLst>
        </xdr:cNvPr>
        <xdr:cNvSpPr/>
      </xdr:nvSpPr>
      <xdr:spPr>
        <a:xfrm>
          <a:off x="4883390" y="317643"/>
          <a:ext cx="1745229" cy="421001"/>
        </a:xfrm>
        <a:prstGeom prst="flowChartTerminator">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254549</xdr:colOff>
      <xdr:row>2</xdr:row>
      <xdr:rowOff>28215</xdr:rowOff>
    </xdr:from>
    <xdr:to>
      <xdr:col>7</xdr:col>
      <xdr:colOff>524239</xdr:colOff>
      <xdr:row>3</xdr:row>
      <xdr:rowOff>116410</xdr:rowOff>
    </xdr:to>
    <xdr:pic>
      <xdr:nvPicPr>
        <xdr:cNvPr id="4" name="Picture 3">
          <a:extLst>
            <a:ext uri="{FF2B5EF4-FFF2-40B4-BE49-F238E27FC236}">
              <a16:creationId xmlns:a16="http://schemas.microsoft.com/office/drawing/2014/main" id="{DDE05A6F-A324-4358-AFE5-B820A36A29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56063" y="398918"/>
          <a:ext cx="269690" cy="273546"/>
        </a:xfrm>
        <a:prstGeom prst="rect">
          <a:avLst/>
        </a:prstGeom>
      </xdr:spPr>
    </xdr:pic>
    <xdr:clientData/>
  </xdr:twoCellAnchor>
  <xdr:twoCellAnchor>
    <xdr:from>
      <xdr:col>7</xdr:col>
      <xdr:colOff>512805</xdr:colOff>
      <xdr:row>2</xdr:row>
      <xdr:rowOff>17917</xdr:rowOff>
    </xdr:from>
    <xdr:to>
      <xdr:col>8</xdr:col>
      <xdr:colOff>962385</xdr:colOff>
      <xdr:row>4</xdr:row>
      <xdr:rowOff>206</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F809A3-AC70-A564-38F5-6C784B9929B0}"/>
            </a:ext>
          </a:extLst>
        </xdr:cNvPr>
        <xdr:cNvSpPr txBox="1"/>
      </xdr:nvSpPr>
      <xdr:spPr>
        <a:xfrm>
          <a:off x="5414319" y="388620"/>
          <a:ext cx="1139498" cy="352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Dashboard</a:t>
          </a:r>
        </a:p>
      </xdr:txBody>
    </xdr:sp>
    <xdr:clientData/>
  </xdr:twoCellAnchor>
  <xdr:twoCellAnchor>
    <xdr:from>
      <xdr:col>9</xdr:col>
      <xdr:colOff>312420</xdr:colOff>
      <xdr:row>1</xdr:row>
      <xdr:rowOff>114300</xdr:rowOff>
    </xdr:from>
    <xdr:to>
      <xdr:col>11</xdr:col>
      <xdr:colOff>602847</xdr:colOff>
      <xdr:row>3</xdr:row>
      <xdr:rowOff>182590</xdr:rowOff>
    </xdr:to>
    <xdr:sp macro="" textlink="">
      <xdr:nvSpPr>
        <xdr:cNvPr id="3" name="Flowchart: Terminator 2">
          <a:hlinkClick xmlns:r="http://schemas.openxmlformats.org/officeDocument/2006/relationships" r:id="rId3"/>
          <a:extLst>
            <a:ext uri="{FF2B5EF4-FFF2-40B4-BE49-F238E27FC236}">
              <a16:creationId xmlns:a16="http://schemas.microsoft.com/office/drawing/2014/main" id="{5A97A1A7-5DA6-4163-91BA-98575CE59D64}"/>
            </a:ext>
          </a:extLst>
        </xdr:cNvPr>
        <xdr:cNvSpPr/>
      </xdr:nvSpPr>
      <xdr:spPr>
        <a:xfrm>
          <a:off x="7026258" y="299651"/>
          <a:ext cx="1742346" cy="438993"/>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548468</xdr:colOff>
      <xdr:row>1</xdr:row>
      <xdr:rowOff>167640</xdr:rowOff>
    </xdr:from>
    <xdr:to>
      <xdr:col>9</xdr:col>
      <xdr:colOff>871669</xdr:colOff>
      <xdr:row>3</xdr:row>
      <xdr:rowOff>126296</xdr:rowOff>
    </xdr:to>
    <xdr:pic>
      <xdr:nvPicPr>
        <xdr:cNvPr id="6" name="Picture 5">
          <a:extLst>
            <a:ext uri="{FF2B5EF4-FFF2-40B4-BE49-F238E27FC236}">
              <a16:creationId xmlns:a16="http://schemas.microsoft.com/office/drawing/2014/main" id="{DEEFB110-2D58-42C5-9D9A-6ADA027E2D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62306" y="352991"/>
          <a:ext cx="323201" cy="329359"/>
        </a:xfrm>
        <a:prstGeom prst="rect">
          <a:avLst/>
        </a:prstGeom>
      </xdr:spPr>
    </xdr:pic>
    <xdr:clientData/>
  </xdr:twoCellAnchor>
  <xdr:twoCellAnchor>
    <xdr:from>
      <xdr:col>9</xdr:col>
      <xdr:colOff>853028</xdr:colOff>
      <xdr:row>2</xdr:row>
      <xdr:rowOff>17918</xdr:rowOff>
    </xdr:from>
    <xdr:to>
      <xdr:col>11</xdr:col>
      <xdr:colOff>616808</xdr:colOff>
      <xdr:row>3</xdr:row>
      <xdr:rowOff>109358</xdr:rowOff>
    </xdr:to>
    <xdr:sp macro="" textlink="">
      <xdr:nvSpPr>
        <xdr:cNvPr id="7" name="TextBox 6">
          <a:hlinkClick xmlns:r="http://schemas.openxmlformats.org/officeDocument/2006/relationships" r:id="rId3"/>
          <a:extLst>
            <a:ext uri="{FF2B5EF4-FFF2-40B4-BE49-F238E27FC236}">
              <a16:creationId xmlns:a16="http://schemas.microsoft.com/office/drawing/2014/main" id="{69031692-57B4-9940-FC2A-BED94DC5DC91}"/>
            </a:ext>
          </a:extLst>
        </xdr:cNvPr>
        <xdr:cNvSpPr txBox="1"/>
      </xdr:nvSpPr>
      <xdr:spPr>
        <a:xfrm>
          <a:off x="7566866" y="388621"/>
          <a:ext cx="1215699" cy="276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163975</xdr:colOff>
      <xdr:row>3</xdr:row>
      <xdr:rowOff>106100</xdr:rowOff>
    </xdr:from>
    <xdr:to>
      <xdr:col>7</xdr:col>
      <xdr:colOff>203259</xdr:colOff>
      <xdr:row>14</xdr:row>
      <xdr:rowOff>4501</xdr:rowOff>
    </xdr:to>
    <xdr:sp macro="" textlink="">
      <xdr:nvSpPr>
        <xdr:cNvPr id="9" name="Rectangle: Rounded Corners 8">
          <a:extLst>
            <a:ext uri="{FF2B5EF4-FFF2-40B4-BE49-F238E27FC236}">
              <a16:creationId xmlns:a16="http://schemas.microsoft.com/office/drawing/2014/main" id="{F8B2FE47-3B40-4FCE-AD5E-7F4C45213A10}"/>
            </a:ext>
          </a:extLst>
        </xdr:cNvPr>
        <xdr:cNvSpPr/>
      </xdr:nvSpPr>
      <xdr:spPr>
        <a:xfrm>
          <a:off x="1390609" y="663661"/>
          <a:ext cx="3105870" cy="1942791"/>
        </a:xfrm>
        <a:prstGeom prst="roundRect">
          <a:avLst>
            <a:gd name="adj" fmla="val 7800"/>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337594</xdr:colOff>
      <xdr:row>3</xdr:row>
      <xdr:rowOff>135039</xdr:rowOff>
    </xdr:from>
    <xdr:to>
      <xdr:col>10</xdr:col>
      <xdr:colOff>303565</xdr:colOff>
      <xdr:row>8</xdr:row>
      <xdr:rowOff>114361</xdr:rowOff>
    </xdr:to>
    <xdr:sp macro="" textlink="">
      <xdr:nvSpPr>
        <xdr:cNvPr id="10" name="Rectangle: Rounded Corners 9">
          <a:extLst>
            <a:ext uri="{FF2B5EF4-FFF2-40B4-BE49-F238E27FC236}">
              <a16:creationId xmlns:a16="http://schemas.microsoft.com/office/drawing/2014/main" id="{9F975D75-4B0B-4DA8-B8CF-3085629EC321}"/>
            </a:ext>
          </a:extLst>
        </xdr:cNvPr>
        <xdr:cNvSpPr/>
      </xdr:nvSpPr>
      <xdr:spPr>
        <a:xfrm>
          <a:off x="4577440" y="691885"/>
          <a:ext cx="1783048" cy="907399"/>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337594</xdr:colOff>
      <xdr:row>9</xdr:row>
      <xdr:rowOff>28938</xdr:rowOff>
    </xdr:from>
    <xdr:to>
      <xdr:col>10</xdr:col>
      <xdr:colOff>303565</xdr:colOff>
      <xdr:row>13</xdr:row>
      <xdr:rowOff>182345</xdr:rowOff>
    </xdr:to>
    <xdr:sp macro="" textlink="">
      <xdr:nvSpPr>
        <xdr:cNvPr id="11" name="Rectangle: Rounded Corners 10">
          <a:extLst>
            <a:ext uri="{FF2B5EF4-FFF2-40B4-BE49-F238E27FC236}">
              <a16:creationId xmlns:a16="http://schemas.microsoft.com/office/drawing/2014/main" id="{8DC4225D-EF6F-4770-B1BB-42B0161A8283}"/>
            </a:ext>
          </a:extLst>
        </xdr:cNvPr>
        <xdr:cNvSpPr/>
      </xdr:nvSpPr>
      <xdr:spPr>
        <a:xfrm>
          <a:off x="4577440" y="1699476"/>
          <a:ext cx="1783048" cy="895869"/>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443697</xdr:colOff>
      <xdr:row>3</xdr:row>
      <xdr:rowOff>115747</xdr:rowOff>
    </xdr:from>
    <xdr:to>
      <xdr:col>13</xdr:col>
      <xdr:colOff>409667</xdr:colOff>
      <xdr:row>21</xdr:row>
      <xdr:rowOff>57957</xdr:rowOff>
    </xdr:to>
    <xdr:sp macro="" textlink="">
      <xdr:nvSpPr>
        <xdr:cNvPr id="12" name="Rectangle: Rounded Corners 11">
          <a:extLst>
            <a:ext uri="{FF2B5EF4-FFF2-40B4-BE49-F238E27FC236}">
              <a16:creationId xmlns:a16="http://schemas.microsoft.com/office/drawing/2014/main" id="{039DBDA7-D611-4B37-81BE-26A35125AFFD}"/>
            </a:ext>
          </a:extLst>
        </xdr:cNvPr>
        <xdr:cNvSpPr/>
      </xdr:nvSpPr>
      <xdr:spPr>
        <a:xfrm>
          <a:off x="9558760" y="665544"/>
          <a:ext cx="1788983" cy="3240995"/>
        </a:xfrm>
        <a:prstGeom prst="roundRect">
          <a:avLst>
            <a:gd name="adj" fmla="val 6674"/>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183267</xdr:colOff>
      <xdr:row>14</xdr:row>
      <xdr:rowOff>115745</xdr:rowOff>
    </xdr:from>
    <xdr:to>
      <xdr:col>10</xdr:col>
      <xdr:colOff>320586</xdr:colOff>
      <xdr:row>21</xdr:row>
      <xdr:rowOff>54448</xdr:rowOff>
    </xdr:to>
    <xdr:sp macro="" textlink="">
      <xdr:nvSpPr>
        <xdr:cNvPr id="13" name="Rectangle: Rounded Corners 12">
          <a:extLst>
            <a:ext uri="{FF2B5EF4-FFF2-40B4-BE49-F238E27FC236}">
              <a16:creationId xmlns:a16="http://schemas.microsoft.com/office/drawing/2014/main" id="{4BB648E2-8FD1-475F-BF31-B571CBCF284E}"/>
            </a:ext>
          </a:extLst>
        </xdr:cNvPr>
        <xdr:cNvSpPr/>
      </xdr:nvSpPr>
      <xdr:spPr>
        <a:xfrm>
          <a:off x="1409901" y="2717696"/>
          <a:ext cx="5043856" cy="1239679"/>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163974</xdr:colOff>
      <xdr:row>21</xdr:row>
      <xdr:rowOff>173622</xdr:rowOff>
    </xdr:from>
    <xdr:to>
      <xdr:col>13</xdr:col>
      <xdr:colOff>437391</xdr:colOff>
      <xdr:row>32</xdr:row>
      <xdr:rowOff>396</xdr:rowOff>
    </xdr:to>
    <xdr:sp macro="" textlink="">
      <xdr:nvSpPr>
        <xdr:cNvPr id="14" name="Rectangle: Rounded Corners 13">
          <a:extLst>
            <a:ext uri="{FF2B5EF4-FFF2-40B4-BE49-F238E27FC236}">
              <a16:creationId xmlns:a16="http://schemas.microsoft.com/office/drawing/2014/main" id="{F27D1275-F2AF-4B30-8676-67492A5D94D3}"/>
            </a:ext>
          </a:extLst>
        </xdr:cNvPr>
        <xdr:cNvSpPr/>
      </xdr:nvSpPr>
      <xdr:spPr>
        <a:xfrm>
          <a:off x="1390608" y="4076549"/>
          <a:ext cx="7019905" cy="1871164"/>
        </a:xfrm>
        <a:prstGeom prst="roundRect">
          <a:avLst>
            <a:gd name="adj" fmla="val 10210"/>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578734</xdr:colOff>
      <xdr:row>3</xdr:row>
      <xdr:rowOff>86811</xdr:rowOff>
    </xdr:from>
    <xdr:to>
      <xdr:col>2</xdr:col>
      <xdr:colOff>51878</xdr:colOff>
      <xdr:row>32</xdr:row>
      <xdr:rowOff>25667</xdr:rowOff>
    </xdr:to>
    <xdr:sp macro="" textlink="">
      <xdr:nvSpPr>
        <xdr:cNvPr id="15" name="Rectangle: Rounded Corners 14">
          <a:extLst>
            <a:ext uri="{FF2B5EF4-FFF2-40B4-BE49-F238E27FC236}">
              <a16:creationId xmlns:a16="http://schemas.microsoft.com/office/drawing/2014/main" id="{3A23400B-47BC-4533-836C-3B5E023A65D8}"/>
            </a:ext>
          </a:extLst>
        </xdr:cNvPr>
        <xdr:cNvSpPr/>
      </xdr:nvSpPr>
      <xdr:spPr>
        <a:xfrm>
          <a:off x="3617088" y="636608"/>
          <a:ext cx="688486" cy="5253565"/>
        </a:xfrm>
        <a:prstGeom prst="roundRect">
          <a:avLst>
            <a:gd name="adj" fmla="val 2134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347241</xdr:colOff>
      <xdr:row>0</xdr:row>
      <xdr:rowOff>135038</xdr:rowOff>
    </xdr:from>
    <xdr:to>
      <xdr:col>10</xdr:col>
      <xdr:colOff>270076</xdr:colOff>
      <xdr:row>3</xdr:row>
      <xdr:rowOff>19291</xdr:rowOff>
    </xdr:to>
    <xdr:sp macro="" textlink="">
      <xdr:nvSpPr>
        <xdr:cNvPr id="16" name="Flowchart: Terminator 15">
          <a:hlinkClick xmlns:r="http://schemas.openxmlformats.org/officeDocument/2006/relationships" r:id="rId2"/>
          <a:extLst>
            <a:ext uri="{FF2B5EF4-FFF2-40B4-BE49-F238E27FC236}">
              <a16:creationId xmlns:a16="http://schemas.microsoft.com/office/drawing/2014/main" id="{CDBF88EB-4586-7A06-4F27-DDF59770C0B5}"/>
            </a:ext>
          </a:extLst>
        </xdr:cNvPr>
        <xdr:cNvSpPr/>
      </xdr:nvSpPr>
      <xdr:spPr>
        <a:xfrm>
          <a:off x="7639292" y="135038"/>
          <a:ext cx="1745847" cy="434050"/>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8</xdr:col>
      <xdr:colOff>125393</xdr:colOff>
      <xdr:row>1</xdr:row>
      <xdr:rowOff>28937</xdr:rowOff>
    </xdr:from>
    <xdr:to>
      <xdr:col>8</xdr:col>
      <xdr:colOff>395083</xdr:colOff>
      <xdr:row>2</xdr:row>
      <xdr:rowOff>116746</xdr:rowOff>
    </xdr:to>
    <xdr:pic>
      <xdr:nvPicPr>
        <xdr:cNvPr id="18" name="Picture 17">
          <a:extLst>
            <a:ext uri="{FF2B5EF4-FFF2-40B4-BE49-F238E27FC236}">
              <a16:creationId xmlns:a16="http://schemas.microsoft.com/office/drawing/2014/main" id="{A74C1794-BA6A-4284-BB7A-EF1FAA7F8D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25115" y="212203"/>
          <a:ext cx="269690" cy="271075"/>
        </a:xfrm>
        <a:prstGeom prst="rect">
          <a:avLst/>
        </a:prstGeom>
      </xdr:spPr>
    </xdr:pic>
    <xdr:clientData/>
  </xdr:twoCellAnchor>
  <xdr:twoCellAnchor>
    <xdr:from>
      <xdr:col>8</xdr:col>
      <xdr:colOff>385821</xdr:colOff>
      <xdr:row>1</xdr:row>
      <xdr:rowOff>19290</xdr:rowOff>
    </xdr:from>
    <xdr:to>
      <xdr:col>10</xdr:col>
      <xdr:colOff>221847</xdr:colOff>
      <xdr:row>2</xdr:row>
      <xdr:rowOff>135038</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07F17C9E-04E5-0175-3EC5-686DAC0CA699}"/>
            </a:ext>
          </a:extLst>
        </xdr:cNvPr>
        <xdr:cNvSpPr txBox="1"/>
      </xdr:nvSpPr>
      <xdr:spPr>
        <a:xfrm>
          <a:off x="8285543" y="202556"/>
          <a:ext cx="1051367" cy="299014"/>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200" b="1">
              <a:solidFill>
                <a:schemeClr val="lt1"/>
              </a:solidFill>
              <a:latin typeface="+mn-lt"/>
              <a:ea typeface="+mn-ea"/>
              <a:cs typeface="+mn-cs"/>
            </a:rPr>
            <a:t>Dashboard</a:t>
          </a:r>
        </a:p>
      </xdr:txBody>
    </xdr:sp>
    <xdr:clientData/>
  </xdr:twoCellAnchor>
  <xdr:twoCellAnchor>
    <xdr:from>
      <xdr:col>10</xdr:col>
      <xdr:colOff>453342</xdr:colOff>
      <xdr:row>0</xdr:row>
      <xdr:rowOff>135038</xdr:rowOff>
    </xdr:from>
    <xdr:to>
      <xdr:col>13</xdr:col>
      <xdr:colOff>327950</xdr:colOff>
      <xdr:row>3</xdr:row>
      <xdr:rowOff>19291</xdr:rowOff>
    </xdr:to>
    <xdr:sp macro="" textlink="">
      <xdr:nvSpPr>
        <xdr:cNvPr id="17" name="Flowchart: Terminator 16">
          <a:hlinkClick xmlns:r="http://schemas.openxmlformats.org/officeDocument/2006/relationships" r:id="rId4"/>
          <a:extLst>
            <a:ext uri="{FF2B5EF4-FFF2-40B4-BE49-F238E27FC236}">
              <a16:creationId xmlns:a16="http://schemas.microsoft.com/office/drawing/2014/main" id="{0AC2AB69-C874-4502-9AF0-724AEBE8299E}"/>
            </a:ext>
          </a:extLst>
        </xdr:cNvPr>
        <xdr:cNvSpPr/>
      </xdr:nvSpPr>
      <xdr:spPr>
        <a:xfrm>
          <a:off x="9568405" y="135038"/>
          <a:ext cx="1697621" cy="434050"/>
        </a:xfrm>
        <a:prstGeom prst="flowChartTerminator">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48228</xdr:colOff>
      <xdr:row>1</xdr:row>
      <xdr:rowOff>9646</xdr:rowOff>
    </xdr:from>
    <xdr:to>
      <xdr:col>11</xdr:col>
      <xdr:colOff>365340</xdr:colOff>
      <xdr:row>2</xdr:row>
      <xdr:rowOff>144684</xdr:rowOff>
    </xdr:to>
    <xdr:pic>
      <xdr:nvPicPr>
        <xdr:cNvPr id="20" name="Picture 19">
          <a:extLst>
            <a:ext uri="{FF2B5EF4-FFF2-40B4-BE49-F238E27FC236}">
              <a16:creationId xmlns:a16="http://schemas.microsoft.com/office/drawing/2014/main" id="{88D213F7-DAFD-4A77-BD40-3CBE74DD8A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70962" y="192912"/>
          <a:ext cx="317112" cy="318304"/>
        </a:xfrm>
        <a:prstGeom prst="rect">
          <a:avLst/>
        </a:prstGeom>
      </xdr:spPr>
    </xdr:pic>
    <xdr:clientData/>
  </xdr:twoCellAnchor>
  <xdr:twoCellAnchor>
    <xdr:from>
      <xdr:col>11</xdr:col>
      <xdr:colOff>366532</xdr:colOff>
      <xdr:row>1</xdr:row>
      <xdr:rowOff>19291</xdr:rowOff>
    </xdr:from>
    <xdr:to>
      <xdr:col>14</xdr:col>
      <xdr:colOff>376177</xdr:colOff>
      <xdr:row>4</xdr:row>
      <xdr:rowOff>96456</xdr:rowOff>
    </xdr:to>
    <xdr:sp macro="" textlink="">
      <xdr:nvSpPr>
        <xdr:cNvPr id="21" name="TextBox 20">
          <a:hlinkClick xmlns:r="http://schemas.openxmlformats.org/officeDocument/2006/relationships" r:id="rId4"/>
          <a:extLst>
            <a:ext uri="{FF2B5EF4-FFF2-40B4-BE49-F238E27FC236}">
              <a16:creationId xmlns:a16="http://schemas.microsoft.com/office/drawing/2014/main" id="{94A04A6F-2442-E5F8-7CAB-35CDAC65F9F2}"/>
            </a:ext>
          </a:extLst>
        </xdr:cNvPr>
        <xdr:cNvSpPr txBox="1"/>
      </xdr:nvSpPr>
      <xdr:spPr>
        <a:xfrm>
          <a:off x="10089266" y="202557"/>
          <a:ext cx="1832658" cy="626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Spreadsheet</a:t>
          </a:r>
        </a:p>
      </xdr:txBody>
    </xdr:sp>
    <xdr:clientData/>
  </xdr:twoCellAnchor>
  <xdr:twoCellAnchor>
    <xdr:from>
      <xdr:col>2</xdr:col>
      <xdr:colOff>482279</xdr:colOff>
      <xdr:row>6</xdr:row>
      <xdr:rowOff>57873</xdr:rowOff>
    </xdr:from>
    <xdr:to>
      <xdr:col>4</xdr:col>
      <xdr:colOff>578734</xdr:colOff>
      <xdr:row>8</xdr:row>
      <xdr:rowOff>19291</xdr:rowOff>
    </xdr:to>
    <xdr:sp macro="" textlink="">
      <xdr:nvSpPr>
        <xdr:cNvPr id="27" name="TextBox 26">
          <a:extLst>
            <a:ext uri="{FF2B5EF4-FFF2-40B4-BE49-F238E27FC236}">
              <a16:creationId xmlns:a16="http://schemas.microsoft.com/office/drawing/2014/main" id="{754A81F2-51DD-8677-DBFA-38273EC5CF3F}"/>
            </a:ext>
          </a:extLst>
        </xdr:cNvPr>
        <xdr:cNvSpPr txBox="1"/>
      </xdr:nvSpPr>
      <xdr:spPr>
        <a:xfrm>
          <a:off x="4735975" y="1157468"/>
          <a:ext cx="1311797" cy="327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Available</a:t>
          </a:r>
          <a:r>
            <a:rPr lang="en-US" sz="1100" baseline="0">
              <a:solidFill>
                <a:schemeClr val="bg1"/>
              </a:solidFill>
            </a:rPr>
            <a:t> Balance</a:t>
          </a:r>
          <a:endParaRPr lang="en-US" sz="1100">
            <a:solidFill>
              <a:schemeClr val="bg1"/>
            </a:solidFill>
          </a:endParaRPr>
        </a:p>
      </xdr:txBody>
    </xdr:sp>
    <xdr:clientData/>
  </xdr:twoCellAnchor>
  <xdr:twoCellAnchor editAs="oneCell">
    <xdr:from>
      <xdr:col>6</xdr:col>
      <xdr:colOff>212203</xdr:colOff>
      <xdr:row>4</xdr:row>
      <xdr:rowOff>48226</xdr:rowOff>
    </xdr:from>
    <xdr:to>
      <xdr:col>7</xdr:col>
      <xdr:colOff>67641</xdr:colOff>
      <xdr:row>5</xdr:row>
      <xdr:rowOff>154749</xdr:rowOff>
    </xdr:to>
    <xdr:pic>
      <xdr:nvPicPr>
        <xdr:cNvPr id="28" name="Picture 27">
          <a:extLst>
            <a:ext uri="{FF2B5EF4-FFF2-40B4-BE49-F238E27FC236}">
              <a16:creationId xmlns:a16="http://schemas.microsoft.com/office/drawing/2014/main" id="{C368415D-5776-4B6C-926C-48D766BBBD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96583" y="781289"/>
          <a:ext cx="463109" cy="289789"/>
        </a:xfrm>
        <a:prstGeom prst="rect">
          <a:avLst/>
        </a:prstGeom>
      </xdr:spPr>
    </xdr:pic>
    <xdr:clientData/>
  </xdr:twoCellAnchor>
  <xdr:twoCellAnchor editAs="oneCell">
    <xdr:from>
      <xdr:col>6</xdr:col>
      <xdr:colOff>125392</xdr:colOff>
      <xdr:row>6</xdr:row>
      <xdr:rowOff>9643</xdr:rowOff>
    </xdr:from>
    <xdr:to>
      <xdr:col>7</xdr:col>
      <xdr:colOff>151760</xdr:colOff>
      <xdr:row>7</xdr:row>
      <xdr:rowOff>39755</xdr:rowOff>
    </xdr:to>
    <xdr:pic>
      <xdr:nvPicPr>
        <xdr:cNvPr id="29" name="Picture 28">
          <a:extLst>
            <a:ext uri="{FF2B5EF4-FFF2-40B4-BE49-F238E27FC236}">
              <a16:creationId xmlns:a16="http://schemas.microsoft.com/office/drawing/2014/main" id="{55A5A9C2-41AD-08F8-7530-590A7053D7B8}"/>
            </a:ext>
          </a:extLst>
        </xdr:cNvPr>
        <xdr:cNvPicPr>
          <a:picLocks noChangeAspect="1"/>
        </xdr:cNvPicPr>
      </xdr:nvPicPr>
      <xdr:blipFill>
        <a:blip xmlns:r="http://schemas.openxmlformats.org/officeDocument/2006/relationships" r:embed="rId7"/>
        <a:stretch>
          <a:fillRect/>
        </a:stretch>
      </xdr:blipFill>
      <xdr:spPr>
        <a:xfrm>
          <a:off x="6809772" y="1109238"/>
          <a:ext cx="634039" cy="213378"/>
        </a:xfrm>
        <a:prstGeom prst="rect">
          <a:avLst/>
        </a:prstGeom>
      </xdr:spPr>
    </xdr:pic>
    <xdr:clientData/>
  </xdr:twoCellAnchor>
  <xdr:twoCellAnchor>
    <xdr:from>
      <xdr:col>2</xdr:col>
      <xdr:colOff>461817</xdr:colOff>
      <xdr:row>7</xdr:row>
      <xdr:rowOff>46182</xdr:rowOff>
    </xdr:from>
    <xdr:to>
      <xdr:col>6</xdr:col>
      <xdr:colOff>11545</xdr:colOff>
      <xdr:row>12</xdr:row>
      <xdr:rowOff>0</xdr:rowOff>
    </xdr:to>
    <xdr:sp macro="" textlink="Calculation!$G$7">
      <xdr:nvSpPr>
        <xdr:cNvPr id="2" name="TextBox 1">
          <a:extLst>
            <a:ext uri="{FF2B5EF4-FFF2-40B4-BE49-F238E27FC236}">
              <a16:creationId xmlns:a16="http://schemas.microsoft.com/office/drawing/2014/main" id="{259D7FCD-FDCF-286B-B5FF-5A2F964AD114}"/>
            </a:ext>
          </a:extLst>
        </xdr:cNvPr>
        <xdr:cNvSpPr txBox="1"/>
      </xdr:nvSpPr>
      <xdr:spPr>
        <a:xfrm>
          <a:off x="4745181" y="1339273"/>
          <a:ext cx="1997364" cy="877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fld id="{0CB0B4E9-AC93-457D-A13C-D9AB029AB3A6}" type="TxLink">
            <a:rPr lang="en-US" sz="2400" b="1" i="0" u="none" strike="noStrike">
              <a:solidFill>
                <a:schemeClr val="bg1"/>
              </a:solidFill>
              <a:latin typeface="Calibri"/>
              <a:ea typeface="Calibri"/>
              <a:cs typeface="Calibri"/>
            </a:rPr>
            <a:pPr/>
            <a:t> $35,249 </a:t>
          </a:fld>
          <a:endParaRPr lang="en-US" sz="4800" b="1">
            <a:solidFill>
              <a:schemeClr val="bg1"/>
            </a:solidFill>
          </a:endParaRPr>
        </a:p>
      </xdr:txBody>
    </xdr:sp>
    <xdr:clientData/>
  </xdr:twoCellAnchor>
  <xdr:twoCellAnchor>
    <xdr:from>
      <xdr:col>6</xdr:col>
      <xdr:colOff>122762</xdr:colOff>
      <xdr:row>11</xdr:row>
      <xdr:rowOff>101716</xdr:rowOff>
    </xdr:from>
    <xdr:to>
      <xdr:col>7</xdr:col>
      <xdr:colOff>186053</xdr:colOff>
      <xdr:row>13</xdr:row>
      <xdr:rowOff>106419</xdr:rowOff>
    </xdr:to>
    <xdr:sp macro="" textlink="ValidThru">
      <xdr:nvSpPr>
        <xdr:cNvPr id="3" name="Rectangle 2">
          <a:extLst>
            <a:ext uri="{FF2B5EF4-FFF2-40B4-BE49-F238E27FC236}">
              <a16:creationId xmlns:a16="http://schemas.microsoft.com/office/drawing/2014/main" id="{6D53AA23-74A8-4960-A836-00AD4CC9A379}"/>
            </a:ext>
          </a:extLst>
        </xdr:cNvPr>
        <xdr:cNvSpPr/>
      </xdr:nvSpPr>
      <xdr:spPr>
        <a:xfrm>
          <a:off x="6853762" y="2133716"/>
          <a:ext cx="675200" cy="3741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0EA5C60-F5D8-4557-A6CD-21A23B00E9F9}" type="TxLink">
            <a:rPr lang="en-US" sz="1400" b="0" i="0" u="none" strike="noStrike">
              <a:solidFill>
                <a:srgbClr val="D1DBE8"/>
              </a:solidFill>
              <a:latin typeface="Bahnschrift"/>
              <a:ea typeface="Calibri"/>
              <a:cs typeface="Calibri"/>
            </a:rPr>
            <a:pPr algn="l"/>
            <a:t>10/26</a:t>
          </a:fld>
          <a:endParaRPr lang="en-US" sz="1400" b="1">
            <a:solidFill>
              <a:srgbClr val="D1DBE8"/>
            </a:solidFill>
          </a:endParaRPr>
        </a:p>
      </xdr:txBody>
    </xdr:sp>
    <xdr:clientData/>
  </xdr:twoCellAnchor>
  <xdr:twoCellAnchor>
    <xdr:from>
      <xdr:col>2</xdr:col>
      <xdr:colOff>319034</xdr:colOff>
      <xdr:row>11</xdr:row>
      <xdr:rowOff>101715</xdr:rowOff>
    </xdr:from>
    <xdr:to>
      <xdr:col>6</xdr:col>
      <xdr:colOff>167162</xdr:colOff>
      <xdr:row>13</xdr:row>
      <xdr:rowOff>106418</xdr:rowOff>
    </xdr:to>
    <xdr:sp macro="" textlink="CardNumber">
      <xdr:nvSpPr>
        <xdr:cNvPr id="4" name="Rectangle 3">
          <a:extLst>
            <a:ext uri="{FF2B5EF4-FFF2-40B4-BE49-F238E27FC236}">
              <a16:creationId xmlns:a16="http://schemas.microsoft.com/office/drawing/2014/main" id="{C26FC387-EDFA-4F45-B66A-C88CAE3026A2}"/>
            </a:ext>
          </a:extLst>
        </xdr:cNvPr>
        <xdr:cNvSpPr/>
      </xdr:nvSpPr>
      <xdr:spPr>
        <a:xfrm>
          <a:off x="4602398" y="2133715"/>
          <a:ext cx="2295764" cy="3741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12BF7C-F27D-41DD-BD21-64EE7EF4583F}" type="TxLink">
            <a:rPr lang="en-US" sz="1400" b="0" i="0" u="none" strike="noStrike">
              <a:solidFill>
                <a:srgbClr val="D1DBE8"/>
              </a:solidFill>
              <a:latin typeface="Bahnschrift"/>
              <a:ea typeface="Calibri"/>
              <a:cs typeface="Calibri"/>
            </a:rPr>
            <a:pPr algn="l"/>
            <a:t>**** **** **** 0000</a:t>
          </a:fld>
          <a:endParaRPr lang="en-US" sz="1400" b="1">
            <a:solidFill>
              <a:srgbClr val="D1DBE8"/>
            </a:solidFill>
          </a:endParaRPr>
        </a:p>
      </xdr:txBody>
    </xdr:sp>
    <xdr:clientData/>
  </xdr:twoCellAnchor>
  <xdr:twoCellAnchor>
    <xdr:from>
      <xdr:col>7</xdr:col>
      <xdr:colOff>341923</xdr:colOff>
      <xdr:row>3</xdr:row>
      <xdr:rowOff>136769</xdr:rowOff>
    </xdr:from>
    <xdr:to>
      <xdr:col>9</xdr:col>
      <xdr:colOff>214922</xdr:colOff>
      <xdr:row>5</xdr:row>
      <xdr:rowOff>19538</xdr:rowOff>
    </xdr:to>
    <xdr:sp macro="" textlink="">
      <xdr:nvSpPr>
        <xdr:cNvPr id="5" name="TextBox 4">
          <a:extLst>
            <a:ext uri="{FF2B5EF4-FFF2-40B4-BE49-F238E27FC236}">
              <a16:creationId xmlns:a16="http://schemas.microsoft.com/office/drawing/2014/main" id="{5B9E88C3-F249-EF2F-5868-F141F31FB6C6}"/>
            </a:ext>
          </a:extLst>
        </xdr:cNvPr>
        <xdr:cNvSpPr txBox="1"/>
      </xdr:nvSpPr>
      <xdr:spPr>
        <a:xfrm>
          <a:off x="4581769" y="693615"/>
          <a:ext cx="108438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rPr>
            <a:t>Income</a:t>
          </a:r>
        </a:p>
      </xdr:txBody>
    </xdr:sp>
    <xdr:clientData/>
  </xdr:twoCellAnchor>
  <xdr:twoCellAnchor>
    <xdr:from>
      <xdr:col>7</xdr:col>
      <xdr:colOff>263770</xdr:colOff>
      <xdr:row>4</xdr:row>
      <xdr:rowOff>146537</xdr:rowOff>
    </xdr:from>
    <xdr:to>
      <xdr:col>9</xdr:col>
      <xdr:colOff>9769</xdr:colOff>
      <xdr:row>6</xdr:row>
      <xdr:rowOff>175845</xdr:rowOff>
    </xdr:to>
    <xdr:sp macro="" textlink="Calculation!$G$5">
      <xdr:nvSpPr>
        <xdr:cNvPr id="6" name="TextBox 5">
          <a:extLst>
            <a:ext uri="{FF2B5EF4-FFF2-40B4-BE49-F238E27FC236}">
              <a16:creationId xmlns:a16="http://schemas.microsoft.com/office/drawing/2014/main" id="{300D98C9-646C-B8C4-864C-3F8185B20952}"/>
            </a:ext>
          </a:extLst>
        </xdr:cNvPr>
        <xdr:cNvSpPr txBox="1"/>
      </xdr:nvSpPr>
      <xdr:spPr>
        <a:xfrm>
          <a:off x="4503616" y="888999"/>
          <a:ext cx="957384" cy="40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19F832-23AF-46E0-B657-F36A1483FC79}" type="TxLink">
            <a:rPr lang="en-US" sz="1600" b="1" i="0" u="none" strike="noStrike">
              <a:solidFill>
                <a:schemeClr val="bg1"/>
              </a:solidFill>
              <a:latin typeface="Calibri"/>
              <a:ea typeface="Calibri"/>
              <a:cs typeface="Calibri"/>
            </a:rPr>
            <a:pPr/>
            <a:t> $65,440 </a:t>
          </a:fld>
          <a:endParaRPr lang="en-US" sz="2800" b="1">
            <a:solidFill>
              <a:schemeClr val="bg1"/>
            </a:solidFill>
          </a:endParaRPr>
        </a:p>
      </xdr:txBody>
    </xdr:sp>
    <xdr:clientData/>
  </xdr:twoCellAnchor>
  <xdr:twoCellAnchor>
    <xdr:from>
      <xdr:col>7</xdr:col>
      <xdr:colOff>283185</xdr:colOff>
      <xdr:row>10</xdr:row>
      <xdr:rowOff>37099</xdr:rowOff>
    </xdr:from>
    <xdr:to>
      <xdr:col>9</xdr:col>
      <xdr:colOff>29184</xdr:colOff>
      <xdr:row>12</xdr:row>
      <xdr:rowOff>66406</xdr:rowOff>
    </xdr:to>
    <xdr:sp macro="" textlink="Calculation!$G$6">
      <xdr:nvSpPr>
        <xdr:cNvPr id="7" name="TextBox 6">
          <a:extLst>
            <a:ext uri="{FF2B5EF4-FFF2-40B4-BE49-F238E27FC236}">
              <a16:creationId xmlns:a16="http://schemas.microsoft.com/office/drawing/2014/main" id="{CBE6EE2E-98AE-4AC5-84E7-0DFEBC74B985}"/>
            </a:ext>
          </a:extLst>
        </xdr:cNvPr>
        <xdr:cNvSpPr txBox="1"/>
      </xdr:nvSpPr>
      <xdr:spPr>
        <a:xfrm>
          <a:off x="4523031" y="1893253"/>
          <a:ext cx="957384" cy="40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FE8868-B274-4C04-ADD5-AE9E165F5ACE}" type="TxLink">
            <a:rPr lang="en-US" sz="1600" b="1" i="0" u="none" strike="noStrike">
              <a:solidFill>
                <a:schemeClr val="bg1"/>
              </a:solidFill>
              <a:latin typeface="Calibri"/>
              <a:ea typeface="Calibri"/>
              <a:cs typeface="Calibri"/>
            </a:rPr>
            <a:pPr marL="0" indent="0"/>
            <a:t> $30,191 </a:t>
          </a:fld>
          <a:endParaRPr lang="en-US" sz="1600" b="1" i="0" u="none" strike="noStrike">
            <a:solidFill>
              <a:schemeClr val="bg1"/>
            </a:solidFill>
            <a:latin typeface="Calibri"/>
            <a:ea typeface="Calibri"/>
            <a:cs typeface="Calibri"/>
          </a:endParaRPr>
        </a:p>
      </xdr:txBody>
    </xdr:sp>
    <xdr:clientData/>
  </xdr:twoCellAnchor>
  <xdr:twoCellAnchor>
    <xdr:from>
      <xdr:col>7</xdr:col>
      <xdr:colOff>351691</xdr:colOff>
      <xdr:row>9</xdr:row>
      <xdr:rowOff>39076</xdr:rowOff>
    </xdr:from>
    <xdr:to>
      <xdr:col>9</xdr:col>
      <xdr:colOff>224691</xdr:colOff>
      <xdr:row>10</xdr:row>
      <xdr:rowOff>126999</xdr:rowOff>
    </xdr:to>
    <xdr:sp macro="" textlink="">
      <xdr:nvSpPr>
        <xdr:cNvPr id="22" name="TextBox 21">
          <a:extLst>
            <a:ext uri="{FF2B5EF4-FFF2-40B4-BE49-F238E27FC236}">
              <a16:creationId xmlns:a16="http://schemas.microsoft.com/office/drawing/2014/main" id="{5C9E6C10-E647-0A1F-7970-91073F8C8669}"/>
            </a:ext>
          </a:extLst>
        </xdr:cNvPr>
        <xdr:cNvSpPr txBox="1"/>
      </xdr:nvSpPr>
      <xdr:spPr>
        <a:xfrm>
          <a:off x="4591537" y="1709614"/>
          <a:ext cx="1084385" cy="27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85000"/>
                </a:schemeClr>
              </a:solidFill>
              <a:latin typeface="+mn-lt"/>
              <a:ea typeface="+mn-ea"/>
              <a:cs typeface="+mn-cs"/>
            </a:rPr>
            <a:t>Spending</a:t>
          </a:r>
        </a:p>
      </xdr:txBody>
    </xdr:sp>
    <xdr:clientData/>
  </xdr:twoCellAnchor>
  <xdr:twoCellAnchor>
    <xdr:from>
      <xdr:col>8</xdr:col>
      <xdr:colOff>390770</xdr:colOff>
      <xdr:row>3</xdr:row>
      <xdr:rowOff>107463</xdr:rowOff>
    </xdr:from>
    <xdr:to>
      <xdr:col>10</xdr:col>
      <xdr:colOff>415465</xdr:colOff>
      <xdr:row>8</xdr:row>
      <xdr:rowOff>87924</xdr:rowOff>
    </xdr:to>
    <xdr:graphicFrame macro="">
      <xdr:nvGraphicFramePr>
        <xdr:cNvPr id="23" name="Chart 22">
          <a:extLst>
            <a:ext uri="{FF2B5EF4-FFF2-40B4-BE49-F238E27FC236}">
              <a16:creationId xmlns:a16="http://schemas.microsoft.com/office/drawing/2014/main" id="{6246C5E8-9248-48C5-9592-C95D20BC3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380999</xdr:colOff>
      <xdr:row>9</xdr:row>
      <xdr:rowOff>136770</xdr:rowOff>
    </xdr:from>
    <xdr:to>
      <xdr:col>10</xdr:col>
      <xdr:colOff>399241</xdr:colOff>
      <xdr:row>14</xdr:row>
      <xdr:rowOff>166077</xdr:rowOff>
    </xdr:to>
    <xdr:graphicFrame macro="">
      <xdr:nvGraphicFramePr>
        <xdr:cNvPr id="24" name="Chart 23">
          <a:extLst>
            <a:ext uri="{FF2B5EF4-FFF2-40B4-BE49-F238E27FC236}">
              <a16:creationId xmlns:a16="http://schemas.microsoft.com/office/drawing/2014/main" id="{18AE3B35-8A88-47B3-81ED-B96054F02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351693</xdr:colOff>
      <xdr:row>3</xdr:row>
      <xdr:rowOff>136771</xdr:rowOff>
    </xdr:from>
    <xdr:to>
      <xdr:col>10</xdr:col>
      <xdr:colOff>400158</xdr:colOff>
      <xdr:row>8</xdr:row>
      <xdr:rowOff>127000</xdr:rowOff>
    </xdr:to>
    <xdr:graphicFrame macro="">
      <xdr:nvGraphicFramePr>
        <xdr:cNvPr id="26" name="Chart 25">
          <a:extLst>
            <a:ext uri="{FF2B5EF4-FFF2-40B4-BE49-F238E27FC236}">
              <a16:creationId xmlns:a16="http://schemas.microsoft.com/office/drawing/2014/main" id="{24FED51D-CAF6-42A8-9EDE-8E6931832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119704</xdr:colOff>
      <xdr:row>4</xdr:row>
      <xdr:rowOff>60223</xdr:rowOff>
    </xdr:from>
    <xdr:to>
      <xdr:col>1</xdr:col>
      <xdr:colOff>475113</xdr:colOff>
      <xdr:row>6</xdr:row>
      <xdr:rowOff>48993</xdr:rowOff>
    </xdr:to>
    <xdr:pic>
      <xdr:nvPicPr>
        <xdr:cNvPr id="8" name="Picture 7">
          <a:extLst>
            <a:ext uri="{FF2B5EF4-FFF2-40B4-BE49-F238E27FC236}">
              <a16:creationId xmlns:a16="http://schemas.microsoft.com/office/drawing/2014/main" id="{8218A752-1BDE-4833-A6BB-B3A0EBC7521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25396" y="802685"/>
          <a:ext cx="355409" cy="360000"/>
        </a:xfrm>
        <a:prstGeom prst="rect">
          <a:avLst/>
        </a:prstGeom>
      </xdr:spPr>
    </xdr:pic>
    <xdr:clientData/>
  </xdr:twoCellAnchor>
  <xdr:twoCellAnchor>
    <xdr:from>
      <xdr:col>1</xdr:col>
      <xdr:colOff>31780</xdr:colOff>
      <xdr:row>6</xdr:row>
      <xdr:rowOff>60224</xdr:rowOff>
    </xdr:from>
    <xdr:to>
      <xdr:col>2</xdr:col>
      <xdr:colOff>87922</xdr:colOff>
      <xdr:row>7</xdr:row>
      <xdr:rowOff>78154</xdr:rowOff>
    </xdr:to>
    <xdr:sp macro="" textlink="">
      <xdr:nvSpPr>
        <xdr:cNvPr id="30" name="TextBox 29">
          <a:extLst>
            <a:ext uri="{FF2B5EF4-FFF2-40B4-BE49-F238E27FC236}">
              <a16:creationId xmlns:a16="http://schemas.microsoft.com/office/drawing/2014/main" id="{B7622A4C-E160-448F-97EE-2B1BB68CD9ED}"/>
            </a:ext>
          </a:extLst>
        </xdr:cNvPr>
        <xdr:cNvSpPr txBox="1"/>
      </xdr:nvSpPr>
      <xdr:spPr>
        <a:xfrm>
          <a:off x="637472" y="1173916"/>
          <a:ext cx="661835" cy="20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gradFill>
                <a:gsLst>
                  <a:gs pos="0">
                    <a:srgbClr val="056AF1"/>
                  </a:gs>
                  <a:gs pos="74000">
                    <a:srgbClr val="4A84FF"/>
                  </a:gs>
                  <a:gs pos="83000">
                    <a:srgbClr val="ADD0FF"/>
                  </a:gs>
                  <a:gs pos="100000">
                    <a:schemeClr val="accent1">
                      <a:lumMod val="30000"/>
                      <a:lumOff val="70000"/>
                    </a:schemeClr>
                  </a:gs>
                </a:gsLst>
                <a:lin ang="5400000" scaled="1"/>
              </a:gradFill>
            </a:rPr>
            <a:t>Finance</a:t>
          </a:r>
          <a:endParaRPr lang="en-US" sz="900">
            <a:solidFill>
              <a:srgbClr val="D1DBE8"/>
            </a:solidFill>
          </a:endParaRPr>
        </a:p>
      </xdr:txBody>
    </xdr:sp>
    <xdr:clientData/>
  </xdr:twoCellAnchor>
  <xdr:twoCellAnchor editAs="oneCell">
    <xdr:from>
      <xdr:col>1</xdr:col>
      <xdr:colOff>109935</xdr:colOff>
      <xdr:row>25</xdr:row>
      <xdr:rowOff>109069</xdr:rowOff>
    </xdr:from>
    <xdr:to>
      <xdr:col>1</xdr:col>
      <xdr:colOff>475695</xdr:colOff>
      <xdr:row>27</xdr:row>
      <xdr:rowOff>107293</xdr:rowOff>
    </xdr:to>
    <xdr:pic>
      <xdr:nvPicPr>
        <xdr:cNvPr id="31" name="Picture 30">
          <a:hlinkClick xmlns:r="http://schemas.openxmlformats.org/officeDocument/2006/relationships" r:id="rId12"/>
          <a:extLst>
            <a:ext uri="{FF2B5EF4-FFF2-40B4-BE49-F238E27FC236}">
              <a16:creationId xmlns:a16="http://schemas.microsoft.com/office/drawing/2014/main" id="{90467BBC-D3FF-461B-8B97-98542679D4D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15627" y="4749454"/>
          <a:ext cx="365760" cy="369454"/>
        </a:xfrm>
        <a:prstGeom prst="rect">
          <a:avLst/>
        </a:prstGeom>
      </xdr:spPr>
    </xdr:pic>
    <xdr:clientData/>
  </xdr:twoCellAnchor>
  <xdr:twoCellAnchor editAs="oneCell">
    <xdr:from>
      <xdr:col>1</xdr:col>
      <xdr:colOff>129473</xdr:colOff>
      <xdr:row>28</xdr:row>
      <xdr:rowOff>138377</xdr:rowOff>
    </xdr:from>
    <xdr:to>
      <xdr:col>1</xdr:col>
      <xdr:colOff>488294</xdr:colOff>
      <xdr:row>30</xdr:row>
      <xdr:rowOff>129662</xdr:rowOff>
    </xdr:to>
    <xdr:pic>
      <xdr:nvPicPr>
        <xdr:cNvPr id="32" name="Picture 31">
          <a:hlinkClick xmlns:r="http://schemas.openxmlformats.org/officeDocument/2006/relationships" r:id="rId14"/>
          <a:extLst>
            <a:ext uri="{FF2B5EF4-FFF2-40B4-BE49-F238E27FC236}">
              <a16:creationId xmlns:a16="http://schemas.microsoft.com/office/drawing/2014/main" id="{8B98396E-A155-4409-9F17-1D7C60A8B51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735165" y="5335608"/>
          <a:ext cx="358821" cy="362516"/>
        </a:xfrm>
        <a:prstGeom prst="rect">
          <a:avLst/>
        </a:prstGeom>
      </xdr:spPr>
    </xdr:pic>
    <xdr:clientData/>
  </xdr:twoCellAnchor>
  <xdr:twoCellAnchor editAs="oneCell">
    <xdr:from>
      <xdr:col>1</xdr:col>
      <xdr:colOff>9770</xdr:colOff>
      <xdr:row>8</xdr:row>
      <xdr:rowOff>97693</xdr:rowOff>
    </xdr:from>
    <xdr:to>
      <xdr:col>2</xdr:col>
      <xdr:colOff>5925</xdr:colOff>
      <xdr:row>24</xdr:row>
      <xdr:rowOff>87923</xdr:rowOff>
    </xdr:to>
    <mc:AlternateContent xmlns:mc="http://schemas.openxmlformats.org/markup-compatibility/2006" xmlns:a14="http://schemas.microsoft.com/office/drawing/2010/main">
      <mc:Choice Requires="a14">
        <xdr:graphicFrame macro="">
          <xdr:nvGraphicFramePr>
            <xdr:cNvPr id="33" name="Month Name 2">
              <a:extLst>
                <a:ext uri="{FF2B5EF4-FFF2-40B4-BE49-F238E27FC236}">
                  <a16:creationId xmlns:a16="http://schemas.microsoft.com/office/drawing/2014/main" id="{553C2C6D-2180-4B5C-9770-77EFC0DBA577}"/>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623087" y="1584522"/>
              <a:ext cx="609472" cy="2963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285040</xdr:colOff>
      <xdr:row>14</xdr:row>
      <xdr:rowOff>131698</xdr:rowOff>
    </xdr:from>
    <xdr:to>
      <xdr:col>4</xdr:col>
      <xdr:colOff>97873</xdr:colOff>
      <xdr:row>16</xdr:row>
      <xdr:rowOff>53100</xdr:rowOff>
    </xdr:to>
    <xdr:pic>
      <xdr:nvPicPr>
        <xdr:cNvPr id="37" name="Picture 36">
          <a:extLst>
            <a:ext uri="{FF2B5EF4-FFF2-40B4-BE49-F238E27FC236}">
              <a16:creationId xmlns:a16="http://schemas.microsoft.com/office/drawing/2014/main" id="{7241D2F1-2F48-C0B1-200D-F004DD947A51}"/>
            </a:ext>
          </a:extLst>
        </xdr:cNvPr>
        <xdr:cNvPicPr>
          <a:picLocks noChangeAspect="1"/>
        </xdr:cNvPicPr>
      </xdr:nvPicPr>
      <xdr:blipFill>
        <a:blip xmlns:r="http://schemas.openxmlformats.org/officeDocument/2006/relationships" r:embed="rId16"/>
        <a:stretch>
          <a:fillRect/>
        </a:stretch>
      </xdr:blipFill>
      <xdr:spPr>
        <a:xfrm>
          <a:off x="1496425" y="2730313"/>
          <a:ext cx="1024217" cy="292633"/>
        </a:xfrm>
        <a:prstGeom prst="rect">
          <a:avLst/>
        </a:prstGeom>
      </xdr:spPr>
    </xdr:pic>
    <xdr:clientData/>
  </xdr:twoCellAnchor>
  <xdr:twoCellAnchor editAs="oneCell">
    <xdr:from>
      <xdr:col>3</xdr:col>
      <xdr:colOff>1732</xdr:colOff>
      <xdr:row>16</xdr:row>
      <xdr:rowOff>24236</xdr:rowOff>
    </xdr:from>
    <xdr:to>
      <xdr:col>4</xdr:col>
      <xdr:colOff>578767</xdr:colOff>
      <xdr:row>17</xdr:row>
      <xdr:rowOff>131253</xdr:rowOff>
    </xdr:to>
    <xdr:pic>
      <xdr:nvPicPr>
        <xdr:cNvPr id="38" name="Picture 37">
          <a:extLst>
            <a:ext uri="{FF2B5EF4-FFF2-40B4-BE49-F238E27FC236}">
              <a16:creationId xmlns:a16="http://schemas.microsoft.com/office/drawing/2014/main" id="{5216B5A3-E51F-49D0-B153-7DDFAAEC7C81}"/>
            </a:ext>
          </a:extLst>
        </xdr:cNvPr>
        <xdr:cNvPicPr>
          <a:picLocks noChangeAspect="1"/>
        </xdr:cNvPicPr>
      </xdr:nvPicPr>
      <xdr:blipFill>
        <a:blip xmlns:r="http://schemas.openxmlformats.org/officeDocument/2006/relationships" r:embed="rId17"/>
        <a:stretch>
          <a:fillRect/>
        </a:stretch>
      </xdr:blipFill>
      <xdr:spPr>
        <a:xfrm>
          <a:off x="1818809" y="2994082"/>
          <a:ext cx="1182727" cy="292633"/>
        </a:xfrm>
        <a:prstGeom prst="rect">
          <a:avLst/>
        </a:prstGeom>
      </xdr:spPr>
    </xdr:pic>
    <xdr:clientData/>
  </xdr:twoCellAnchor>
  <xdr:twoCellAnchor editAs="oneCell">
    <xdr:from>
      <xdr:col>3</xdr:col>
      <xdr:colOff>1732</xdr:colOff>
      <xdr:row>17</xdr:row>
      <xdr:rowOff>151236</xdr:rowOff>
    </xdr:from>
    <xdr:to>
      <xdr:col>4</xdr:col>
      <xdr:colOff>42272</xdr:colOff>
      <xdr:row>19</xdr:row>
      <xdr:rowOff>72639</xdr:rowOff>
    </xdr:to>
    <xdr:pic>
      <xdr:nvPicPr>
        <xdr:cNvPr id="39" name="Picture 38">
          <a:extLst>
            <a:ext uri="{FF2B5EF4-FFF2-40B4-BE49-F238E27FC236}">
              <a16:creationId xmlns:a16="http://schemas.microsoft.com/office/drawing/2014/main" id="{55701C43-D501-9965-5FC0-9615A28B7535}"/>
            </a:ext>
          </a:extLst>
        </xdr:cNvPr>
        <xdr:cNvPicPr>
          <a:picLocks noChangeAspect="1"/>
        </xdr:cNvPicPr>
      </xdr:nvPicPr>
      <xdr:blipFill>
        <a:blip xmlns:r="http://schemas.openxmlformats.org/officeDocument/2006/relationships" r:embed="rId18"/>
        <a:stretch>
          <a:fillRect/>
        </a:stretch>
      </xdr:blipFill>
      <xdr:spPr>
        <a:xfrm>
          <a:off x="1818809" y="3306698"/>
          <a:ext cx="646232" cy="292633"/>
        </a:xfrm>
        <a:prstGeom prst="rect">
          <a:avLst/>
        </a:prstGeom>
      </xdr:spPr>
    </xdr:pic>
    <xdr:clientData/>
  </xdr:twoCellAnchor>
  <xdr:twoCellAnchor editAs="oneCell">
    <xdr:from>
      <xdr:col>2</xdr:col>
      <xdr:colOff>597655</xdr:colOff>
      <xdr:row>19</xdr:row>
      <xdr:rowOff>121929</xdr:rowOff>
    </xdr:from>
    <xdr:to>
      <xdr:col>4</xdr:col>
      <xdr:colOff>111758</xdr:colOff>
      <xdr:row>21</xdr:row>
      <xdr:rowOff>43331</xdr:rowOff>
    </xdr:to>
    <xdr:pic>
      <xdr:nvPicPr>
        <xdr:cNvPr id="40" name="Picture 39">
          <a:extLst>
            <a:ext uri="{FF2B5EF4-FFF2-40B4-BE49-F238E27FC236}">
              <a16:creationId xmlns:a16="http://schemas.microsoft.com/office/drawing/2014/main" id="{53ACF24E-819B-1DA0-5061-D5AE8297EE81}"/>
            </a:ext>
          </a:extLst>
        </xdr:cNvPr>
        <xdr:cNvPicPr>
          <a:picLocks noChangeAspect="1"/>
        </xdr:cNvPicPr>
      </xdr:nvPicPr>
      <xdr:blipFill>
        <a:blip xmlns:r="http://schemas.openxmlformats.org/officeDocument/2006/relationships" r:embed="rId19"/>
        <a:stretch>
          <a:fillRect/>
        </a:stretch>
      </xdr:blipFill>
      <xdr:spPr>
        <a:xfrm>
          <a:off x="1809040" y="3648621"/>
          <a:ext cx="725487" cy="292633"/>
        </a:xfrm>
        <a:prstGeom prst="rect">
          <a:avLst/>
        </a:prstGeom>
      </xdr:spPr>
    </xdr:pic>
    <xdr:clientData/>
  </xdr:twoCellAnchor>
  <xdr:twoCellAnchor editAs="oneCell">
    <xdr:from>
      <xdr:col>2</xdr:col>
      <xdr:colOff>324116</xdr:colOff>
      <xdr:row>16</xdr:row>
      <xdr:rowOff>34006</xdr:rowOff>
    </xdr:from>
    <xdr:to>
      <xdr:col>2</xdr:col>
      <xdr:colOff>576116</xdr:colOff>
      <xdr:row>17</xdr:row>
      <xdr:rowOff>101786</xdr:rowOff>
    </xdr:to>
    <xdr:pic>
      <xdr:nvPicPr>
        <xdr:cNvPr id="41" name="Picture 40">
          <a:extLst>
            <a:ext uri="{FF2B5EF4-FFF2-40B4-BE49-F238E27FC236}">
              <a16:creationId xmlns:a16="http://schemas.microsoft.com/office/drawing/2014/main" id="{040D3B98-9F0A-419A-BFD2-F35E65864716}"/>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flipV="1">
          <a:off x="1535501" y="3003852"/>
          <a:ext cx="252000" cy="253396"/>
        </a:xfrm>
        <a:prstGeom prst="rect">
          <a:avLst/>
        </a:prstGeom>
      </xdr:spPr>
    </xdr:pic>
    <xdr:clientData/>
  </xdr:twoCellAnchor>
  <xdr:twoCellAnchor editAs="oneCell">
    <xdr:from>
      <xdr:col>2</xdr:col>
      <xdr:colOff>324117</xdr:colOff>
      <xdr:row>17</xdr:row>
      <xdr:rowOff>161005</xdr:rowOff>
    </xdr:from>
    <xdr:to>
      <xdr:col>2</xdr:col>
      <xdr:colOff>576117</xdr:colOff>
      <xdr:row>19</xdr:row>
      <xdr:rowOff>42030</xdr:rowOff>
    </xdr:to>
    <xdr:pic>
      <xdr:nvPicPr>
        <xdr:cNvPr id="42" name="Picture 41">
          <a:extLst>
            <a:ext uri="{FF2B5EF4-FFF2-40B4-BE49-F238E27FC236}">
              <a16:creationId xmlns:a16="http://schemas.microsoft.com/office/drawing/2014/main" id="{EE98315C-3436-4C83-A926-CD83E9D9FA1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flipV="1">
          <a:off x="1535502" y="3316467"/>
          <a:ext cx="252000" cy="252255"/>
        </a:xfrm>
        <a:prstGeom prst="rect">
          <a:avLst/>
        </a:prstGeom>
      </xdr:spPr>
    </xdr:pic>
    <xdr:clientData/>
  </xdr:twoCellAnchor>
  <xdr:twoCellAnchor editAs="oneCell">
    <xdr:from>
      <xdr:col>2</xdr:col>
      <xdr:colOff>324116</xdr:colOff>
      <xdr:row>19</xdr:row>
      <xdr:rowOff>102391</xdr:rowOff>
    </xdr:from>
    <xdr:to>
      <xdr:col>2</xdr:col>
      <xdr:colOff>576116</xdr:colOff>
      <xdr:row>20</xdr:row>
      <xdr:rowOff>170977</xdr:rowOff>
    </xdr:to>
    <xdr:pic>
      <xdr:nvPicPr>
        <xdr:cNvPr id="43" name="Picture 42">
          <a:extLst>
            <a:ext uri="{FF2B5EF4-FFF2-40B4-BE49-F238E27FC236}">
              <a16:creationId xmlns:a16="http://schemas.microsoft.com/office/drawing/2014/main" id="{4045575A-8B82-4FCD-9BA0-50C1BF48CC0D}"/>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rot="10800000" flipV="1">
          <a:off x="1535501" y="3629083"/>
          <a:ext cx="252000" cy="254202"/>
        </a:xfrm>
        <a:prstGeom prst="rect">
          <a:avLst/>
        </a:prstGeom>
      </xdr:spPr>
    </xdr:pic>
    <xdr:clientData/>
  </xdr:twoCellAnchor>
  <xdr:twoCellAnchor>
    <xdr:from>
      <xdr:col>4</xdr:col>
      <xdr:colOff>594732</xdr:colOff>
      <xdr:row>16</xdr:row>
      <xdr:rowOff>9293</xdr:rowOff>
    </xdr:from>
    <xdr:to>
      <xdr:col>6</xdr:col>
      <xdr:colOff>102220</xdr:colOff>
      <xdr:row>17</xdr:row>
      <xdr:rowOff>102220</xdr:rowOff>
    </xdr:to>
    <xdr:sp macro="" textlink="datawithdecision">
      <xdr:nvSpPr>
        <xdr:cNvPr id="44" name="TextBox 43">
          <a:extLst>
            <a:ext uri="{FF2B5EF4-FFF2-40B4-BE49-F238E27FC236}">
              <a16:creationId xmlns:a16="http://schemas.microsoft.com/office/drawing/2014/main" id="{431388BC-18A7-BD8A-93C3-032546ECDFB6}"/>
            </a:ext>
          </a:extLst>
        </xdr:cNvPr>
        <xdr:cNvSpPr txBox="1"/>
      </xdr:nvSpPr>
      <xdr:spPr>
        <a:xfrm>
          <a:off x="3048000" y="2982952"/>
          <a:ext cx="734122" cy="27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2EE0AB-1E75-45AF-AE0D-FD515192C98D}" type="TxLink">
            <a:rPr lang="en-US" sz="1100" b="0" i="0" u="none" strike="noStrike">
              <a:solidFill>
                <a:schemeClr val="bg1"/>
              </a:solidFill>
              <a:latin typeface="Calibri"/>
              <a:ea typeface="Calibri"/>
              <a:cs typeface="Calibri"/>
            </a:rPr>
            <a:pPr/>
            <a:t> $50,000 </a:t>
          </a:fld>
          <a:endParaRPr lang="en-US" sz="1100">
            <a:solidFill>
              <a:schemeClr val="bg1"/>
            </a:solidFill>
          </a:endParaRPr>
        </a:p>
      </xdr:txBody>
    </xdr:sp>
    <xdr:clientData/>
  </xdr:twoCellAnchor>
  <xdr:twoCellAnchor>
    <xdr:from>
      <xdr:col>4</xdr:col>
      <xdr:colOff>585440</xdr:colOff>
      <xdr:row>17</xdr:row>
      <xdr:rowOff>157977</xdr:rowOff>
    </xdr:from>
    <xdr:to>
      <xdr:col>6</xdr:col>
      <xdr:colOff>241611</xdr:colOff>
      <xdr:row>19</xdr:row>
      <xdr:rowOff>83635</xdr:rowOff>
    </xdr:to>
    <xdr:sp macro="" textlink="youtube">
      <xdr:nvSpPr>
        <xdr:cNvPr id="45" name="TextBox 44">
          <a:extLst>
            <a:ext uri="{FF2B5EF4-FFF2-40B4-BE49-F238E27FC236}">
              <a16:creationId xmlns:a16="http://schemas.microsoft.com/office/drawing/2014/main" id="{2CC330A5-DE4F-058A-A908-05A4177A70DF}"/>
            </a:ext>
          </a:extLst>
        </xdr:cNvPr>
        <xdr:cNvSpPr txBox="1"/>
      </xdr:nvSpPr>
      <xdr:spPr>
        <a:xfrm>
          <a:off x="3038708" y="3317489"/>
          <a:ext cx="882805" cy="2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258F9C-0637-414C-8CB8-0F62CBC0754F}" type="TxLink">
            <a:rPr lang="en-US" sz="1100" b="0" i="0" u="none" strike="noStrike">
              <a:solidFill>
                <a:schemeClr val="bg1"/>
              </a:solidFill>
              <a:latin typeface="Calibri"/>
              <a:ea typeface="Calibri"/>
              <a:cs typeface="Calibri"/>
            </a:rPr>
            <a:pPr marL="0" indent="0"/>
            <a:t> $10,940 </a:t>
          </a:fld>
          <a:endParaRPr lang="en-US" sz="1100" b="0" i="0" u="none" strike="noStrike">
            <a:solidFill>
              <a:schemeClr val="bg1"/>
            </a:solidFill>
            <a:latin typeface="Calibri"/>
            <a:ea typeface="Calibri"/>
            <a:cs typeface="Calibri"/>
          </a:endParaRPr>
        </a:p>
      </xdr:txBody>
    </xdr:sp>
    <xdr:clientData/>
  </xdr:twoCellAnchor>
  <xdr:twoCellAnchor>
    <xdr:from>
      <xdr:col>4</xdr:col>
      <xdr:colOff>585440</xdr:colOff>
      <xdr:row>19</xdr:row>
      <xdr:rowOff>102219</xdr:rowOff>
    </xdr:from>
    <xdr:to>
      <xdr:col>6</xdr:col>
      <xdr:colOff>427464</xdr:colOff>
      <xdr:row>21</xdr:row>
      <xdr:rowOff>18586</xdr:rowOff>
    </xdr:to>
    <xdr:sp macro="" textlink="teachable">
      <xdr:nvSpPr>
        <xdr:cNvPr id="46" name="TextBox 45">
          <a:extLst>
            <a:ext uri="{FF2B5EF4-FFF2-40B4-BE49-F238E27FC236}">
              <a16:creationId xmlns:a16="http://schemas.microsoft.com/office/drawing/2014/main" id="{F08C4980-3F74-4FC8-481A-1EC2B845B2BB}"/>
            </a:ext>
          </a:extLst>
        </xdr:cNvPr>
        <xdr:cNvSpPr txBox="1"/>
      </xdr:nvSpPr>
      <xdr:spPr>
        <a:xfrm>
          <a:off x="3038708" y="3633439"/>
          <a:ext cx="1068658" cy="28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2CA474-3D7D-4D68-AA14-C5F597E8946F}" type="TxLink">
            <a:rPr lang="en-US" sz="1100" b="0" i="0" u="none" strike="noStrike">
              <a:solidFill>
                <a:schemeClr val="bg1"/>
              </a:solidFill>
              <a:latin typeface="Calibri"/>
              <a:ea typeface="Calibri"/>
              <a:cs typeface="Calibri"/>
            </a:rPr>
            <a:pPr marL="0" indent="0"/>
            <a:t> $4,500 </a:t>
          </a:fld>
          <a:endParaRPr lang="en-US" sz="1100" b="0" i="0" u="none" strike="noStrike">
            <a:solidFill>
              <a:schemeClr val="bg1"/>
            </a:solidFill>
            <a:latin typeface="Calibri"/>
            <a:ea typeface="Calibri"/>
            <a:cs typeface="Calibri"/>
          </a:endParaRPr>
        </a:p>
      </xdr:txBody>
    </xdr:sp>
    <xdr:clientData/>
  </xdr:twoCellAnchor>
  <xdr:twoCellAnchor>
    <xdr:from>
      <xdr:col>6</xdr:col>
      <xdr:colOff>62463</xdr:colOff>
      <xdr:row>13</xdr:row>
      <xdr:rowOff>162208</xdr:rowOff>
    </xdr:from>
    <xdr:to>
      <xdr:col>10</xdr:col>
      <xdr:colOff>451575</xdr:colOff>
      <xdr:row>21</xdr:row>
      <xdr:rowOff>143741</xdr:rowOff>
    </xdr:to>
    <xdr:graphicFrame macro="">
      <xdr:nvGraphicFramePr>
        <xdr:cNvPr id="47" name="Chart 46">
          <a:extLst>
            <a:ext uri="{FF2B5EF4-FFF2-40B4-BE49-F238E27FC236}">
              <a16:creationId xmlns:a16="http://schemas.microsoft.com/office/drawing/2014/main" id="{65B9DD36-6E5D-4F40-A03A-D03075BA9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10</xdr:col>
      <xdr:colOff>516980</xdr:colOff>
      <xdr:row>3</xdr:row>
      <xdr:rowOff>135862</xdr:rowOff>
    </xdr:from>
    <xdr:to>
      <xdr:col>12</xdr:col>
      <xdr:colOff>198729</xdr:colOff>
      <xdr:row>5</xdr:row>
      <xdr:rowOff>56788</xdr:rowOff>
    </xdr:to>
    <xdr:pic>
      <xdr:nvPicPr>
        <xdr:cNvPr id="25" name="Picture 24">
          <a:extLst>
            <a:ext uri="{FF2B5EF4-FFF2-40B4-BE49-F238E27FC236}">
              <a16:creationId xmlns:a16="http://schemas.microsoft.com/office/drawing/2014/main" id="{878A00CE-21A1-DA68-70DE-5C1A5013314C}"/>
            </a:ext>
          </a:extLst>
        </xdr:cNvPr>
        <xdr:cNvPicPr>
          <a:picLocks noChangeAspect="1"/>
        </xdr:cNvPicPr>
      </xdr:nvPicPr>
      <xdr:blipFill>
        <a:blip xmlns:r="http://schemas.openxmlformats.org/officeDocument/2006/relationships" r:embed="rId24"/>
        <a:stretch>
          <a:fillRect/>
        </a:stretch>
      </xdr:blipFill>
      <xdr:spPr>
        <a:xfrm>
          <a:off x="6650151" y="693423"/>
          <a:ext cx="908383" cy="292633"/>
        </a:xfrm>
        <a:prstGeom prst="rect">
          <a:avLst/>
        </a:prstGeom>
      </xdr:spPr>
    </xdr:pic>
    <xdr:clientData/>
  </xdr:twoCellAnchor>
  <xdr:twoCellAnchor editAs="oneCell">
    <xdr:from>
      <xdr:col>10</xdr:col>
      <xdr:colOff>600613</xdr:colOff>
      <xdr:row>5</xdr:row>
      <xdr:rowOff>89398</xdr:rowOff>
    </xdr:from>
    <xdr:to>
      <xdr:col>11</xdr:col>
      <xdr:colOff>415357</xdr:colOff>
      <xdr:row>7</xdr:row>
      <xdr:rowOff>154540</xdr:rowOff>
    </xdr:to>
    <xdr:pic>
      <xdr:nvPicPr>
        <xdr:cNvPr id="34" name="Picture 33">
          <a:extLst>
            <a:ext uri="{FF2B5EF4-FFF2-40B4-BE49-F238E27FC236}">
              <a16:creationId xmlns:a16="http://schemas.microsoft.com/office/drawing/2014/main" id="{D4A34B8A-3C20-4F73-A3A0-8822ABA8504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733784" y="1018666"/>
          <a:ext cx="428061" cy="436850"/>
        </a:xfrm>
        <a:prstGeom prst="rect">
          <a:avLst/>
        </a:prstGeom>
      </xdr:spPr>
    </xdr:pic>
    <xdr:clientData/>
  </xdr:twoCellAnchor>
  <xdr:twoCellAnchor editAs="oneCell">
    <xdr:from>
      <xdr:col>10</xdr:col>
      <xdr:colOff>594731</xdr:colOff>
      <xdr:row>8</xdr:row>
      <xdr:rowOff>83634</xdr:rowOff>
    </xdr:from>
    <xdr:to>
      <xdr:col>11</xdr:col>
      <xdr:colOff>407136</xdr:colOff>
      <xdr:row>10</xdr:row>
      <xdr:rowOff>146437</xdr:rowOff>
    </xdr:to>
    <xdr:pic>
      <xdr:nvPicPr>
        <xdr:cNvPr id="35" name="Picture 34">
          <a:extLst>
            <a:ext uri="{FF2B5EF4-FFF2-40B4-BE49-F238E27FC236}">
              <a16:creationId xmlns:a16="http://schemas.microsoft.com/office/drawing/2014/main" id="{CDEA16AA-9A01-4A1F-A2E4-671D863F7C2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727902" y="1570463"/>
          <a:ext cx="425722" cy="434511"/>
        </a:xfrm>
        <a:prstGeom prst="rect">
          <a:avLst/>
        </a:prstGeom>
      </xdr:spPr>
    </xdr:pic>
    <xdr:clientData/>
  </xdr:twoCellAnchor>
  <xdr:twoCellAnchor editAs="oneCell">
    <xdr:from>
      <xdr:col>10</xdr:col>
      <xdr:colOff>604023</xdr:colOff>
      <xdr:row>11</xdr:row>
      <xdr:rowOff>83634</xdr:rowOff>
    </xdr:from>
    <xdr:to>
      <xdr:col>11</xdr:col>
      <xdr:colOff>420028</xdr:colOff>
      <xdr:row>13</xdr:row>
      <xdr:rowOff>147398</xdr:rowOff>
    </xdr:to>
    <xdr:pic>
      <xdr:nvPicPr>
        <xdr:cNvPr id="36" name="Picture 35">
          <a:extLst>
            <a:ext uri="{FF2B5EF4-FFF2-40B4-BE49-F238E27FC236}">
              <a16:creationId xmlns:a16="http://schemas.microsoft.com/office/drawing/2014/main" id="{2FA793CE-0BFB-4545-AC90-61DCDA97631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737194" y="2128024"/>
          <a:ext cx="429322" cy="435472"/>
        </a:xfrm>
        <a:prstGeom prst="rect">
          <a:avLst/>
        </a:prstGeom>
      </xdr:spPr>
    </xdr:pic>
    <xdr:clientData/>
  </xdr:twoCellAnchor>
  <xdr:twoCellAnchor editAs="oneCell">
    <xdr:from>
      <xdr:col>10</xdr:col>
      <xdr:colOff>604024</xdr:colOff>
      <xdr:row>14</xdr:row>
      <xdr:rowOff>74342</xdr:rowOff>
    </xdr:from>
    <xdr:to>
      <xdr:col>11</xdr:col>
      <xdr:colOff>420029</xdr:colOff>
      <xdr:row>16</xdr:row>
      <xdr:rowOff>142000</xdr:rowOff>
    </xdr:to>
    <xdr:pic>
      <xdr:nvPicPr>
        <xdr:cNvPr id="48" name="Picture 47">
          <a:extLst>
            <a:ext uri="{FF2B5EF4-FFF2-40B4-BE49-F238E27FC236}">
              <a16:creationId xmlns:a16="http://schemas.microsoft.com/office/drawing/2014/main" id="{42D361CC-9CAC-41D5-8A56-32692806C77B}"/>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737195" y="2676293"/>
          <a:ext cx="429322" cy="439366"/>
        </a:xfrm>
        <a:prstGeom prst="rect">
          <a:avLst/>
        </a:prstGeom>
      </xdr:spPr>
    </xdr:pic>
    <xdr:clientData/>
  </xdr:twoCellAnchor>
  <xdr:twoCellAnchor editAs="oneCell">
    <xdr:from>
      <xdr:col>10</xdr:col>
      <xdr:colOff>604024</xdr:colOff>
      <xdr:row>17</xdr:row>
      <xdr:rowOff>74342</xdr:rowOff>
    </xdr:from>
    <xdr:to>
      <xdr:col>11</xdr:col>
      <xdr:colOff>420029</xdr:colOff>
      <xdr:row>19</xdr:row>
      <xdr:rowOff>142000</xdr:rowOff>
    </xdr:to>
    <xdr:pic>
      <xdr:nvPicPr>
        <xdr:cNvPr id="49" name="Picture 48">
          <a:extLst>
            <a:ext uri="{FF2B5EF4-FFF2-40B4-BE49-F238E27FC236}">
              <a16:creationId xmlns:a16="http://schemas.microsoft.com/office/drawing/2014/main" id="{B6279110-3CB5-46C0-93EA-938E424053C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737195" y="3233854"/>
          <a:ext cx="429322" cy="439366"/>
        </a:xfrm>
        <a:prstGeom prst="rect">
          <a:avLst/>
        </a:prstGeom>
      </xdr:spPr>
    </xdr:pic>
    <xdr:clientData/>
  </xdr:twoCellAnchor>
  <xdr:twoCellAnchor editAs="oneCell">
    <xdr:from>
      <xdr:col>11</xdr:col>
      <xdr:colOff>470516</xdr:colOff>
      <xdr:row>5</xdr:row>
      <xdr:rowOff>61520</xdr:rowOff>
    </xdr:from>
    <xdr:to>
      <xdr:col>12</xdr:col>
      <xdr:colOff>283956</xdr:colOff>
      <xdr:row>6</xdr:row>
      <xdr:rowOff>168299</xdr:rowOff>
    </xdr:to>
    <xdr:pic>
      <xdr:nvPicPr>
        <xdr:cNvPr id="50" name="Picture 49">
          <a:extLst>
            <a:ext uri="{FF2B5EF4-FFF2-40B4-BE49-F238E27FC236}">
              <a16:creationId xmlns:a16="http://schemas.microsoft.com/office/drawing/2014/main" id="{A0637EC9-20BA-A217-80C5-A841C5DB4BFE}"/>
            </a:ext>
          </a:extLst>
        </xdr:cNvPr>
        <xdr:cNvPicPr>
          <a:picLocks noChangeAspect="1"/>
        </xdr:cNvPicPr>
      </xdr:nvPicPr>
      <xdr:blipFill>
        <a:blip xmlns:r="http://schemas.openxmlformats.org/officeDocument/2006/relationships" r:embed="rId30"/>
        <a:stretch>
          <a:fillRect/>
        </a:stretch>
      </xdr:blipFill>
      <xdr:spPr>
        <a:xfrm>
          <a:off x="7217004" y="990788"/>
          <a:ext cx="426757" cy="292633"/>
        </a:xfrm>
        <a:prstGeom prst="rect">
          <a:avLst/>
        </a:prstGeom>
      </xdr:spPr>
    </xdr:pic>
    <xdr:clientData/>
  </xdr:twoCellAnchor>
  <xdr:twoCellAnchor editAs="oneCell">
    <xdr:from>
      <xdr:col>11</xdr:col>
      <xdr:colOff>451930</xdr:colOff>
      <xdr:row>8</xdr:row>
      <xdr:rowOff>52227</xdr:rowOff>
    </xdr:from>
    <xdr:to>
      <xdr:col>12</xdr:col>
      <xdr:colOff>527521</xdr:colOff>
      <xdr:row>9</xdr:row>
      <xdr:rowOff>159006</xdr:rowOff>
    </xdr:to>
    <xdr:pic>
      <xdr:nvPicPr>
        <xdr:cNvPr id="51" name="Picture 50">
          <a:extLst>
            <a:ext uri="{FF2B5EF4-FFF2-40B4-BE49-F238E27FC236}">
              <a16:creationId xmlns:a16="http://schemas.microsoft.com/office/drawing/2014/main" id="{2F5F8972-036D-E841-9940-A496D22ECEAC}"/>
            </a:ext>
          </a:extLst>
        </xdr:cNvPr>
        <xdr:cNvPicPr>
          <a:picLocks noChangeAspect="1"/>
        </xdr:cNvPicPr>
      </xdr:nvPicPr>
      <xdr:blipFill>
        <a:blip xmlns:r="http://schemas.openxmlformats.org/officeDocument/2006/relationships" r:embed="rId31"/>
        <a:stretch>
          <a:fillRect/>
        </a:stretch>
      </xdr:blipFill>
      <xdr:spPr>
        <a:xfrm>
          <a:off x="7198418" y="1539056"/>
          <a:ext cx="688908" cy="292633"/>
        </a:xfrm>
        <a:prstGeom prst="rect">
          <a:avLst/>
        </a:prstGeom>
      </xdr:spPr>
    </xdr:pic>
    <xdr:clientData/>
  </xdr:twoCellAnchor>
  <xdr:twoCellAnchor editAs="oneCell">
    <xdr:from>
      <xdr:col>11</xdr:col>
      <xdr:colOff>479808</xdr:colOff>
      <xdr:row>11</xdr:row>
      <xdr:rowOff>61520</xdr:rowOff>
    </xdr:from>
    <xdr:to>
      <xdr:col>12</xdr:col>
      <xdr:colOff>439565</xdr:colOff>
      <xdr:row>12</xdr:row>
      <xdr:rowOff>168299</xdr:rowOff>
    </xdr:to>
    <xdr:pic>
      <xdr:nvPicPr>
        <xdr:cNvPr id="52" name="Picture 51">
          <a:extLst>
            <a:ext uri="{FF2B5EF4-FFF2-40B4-BE49-F238E27FC236}">
              <a16:creationId xmlns:a16="http://schemas.microsoft.com/office/drawing/2014/main" id="{697A3414-4CFF-A8A5-F8E4-7D8FA62F79F3}"/>
            </a:ext>
          </a:extLst>
        </xdr:cNvPr>
        <xdr:cNvPicPr>
          <a:picLocks noChangeAspect="1"/>
        </xdr:cNvPicPr>
      </xdr:nvPicPr>
      <xdr:blipFill>
        <a:blip xmlns:r="http://schemas.openxmlformats.org/officeDocument/2006/relationships" r:embed="rId32"/>
        <a:stretch>
          <a:fillRect/>
        </a:stretch>
      </xdr:blipFill>
      <xdr:spPr>
        <a:xfrm>
          <a:off x="7226296" y="2105910"/>
          <a:ext cx="573074" cy="292633"/>
        </a:xfrm>
        <a:prstGeom prst="rect">
          <a:avLst/>
        </a:prstGeom>
      </xdr:spPr>
    </xdr:pic>
    <xdr:clientData/>
  </xdr:twoCellAnchor>
  <xdr:twoCellAnchor editAs="oneCell">
    <xdr:from>
      <xdr:col>11</xdr:col>
      <xdr:colOff>451931</xdr:colOff>
      <xdr:row>14</xdr:row>
      <xdr:rowOff>24349</xdr:rowOff>
    </xdr:from>
    <xdr:to>
      <xdr:col>13</xdr:col>
      <xdr:colOff>182452</xdr:colOff>
      <xdr:row>15</xdr:row>
      <xdr:rowOff>131128</xdr:rowOff>
    </xdr:to>
    <xdr:pic>
      <xdr:nvPicPr>
        <xdr:cNvPr id="53" name="Picture 52">
          <a:extLst>
            <a:ext uri="{FF2B5EF4-FFF2-40B4-BE49-F238E27FC236}">
              <a16:creationId xmlns:a16="http://schemas.microsoft.com/office/drawing/2014/main" id="{B2BBC105-2DBD-9C0C-C866-2C7D514170C6}"/>
            </a:ext>
          </a:extLst>
        </xdr:cNvPr>
        <xdr:cNvPicPr>
          <a:picLocks noChangeAspect="1"/>
        </xdr:cNvPicPr>
      </xdr:nvPicPr>
      <xdr:blipFill>
        <a:blip xmlns:r="http://schemas.openxmlformats.org/officeDocument/2006/relationships" r:embed="rId33"/>
        <a:stretch>
          <a:fillRect/>
        </a:stretch>
      </xdr:blipFill>
      <xdr:spPr>
        <a:xfrm>
          <a:off x="7198419" y="2626300"/>
          <a:ext cx="957155" cy="292633"/>
        </a:xfrm>
        <a:prstGeom prst="rect">
          <a:avLst/>
        </a:prstGeom>
      </xdr:spPr>
    </xdr:pic>
    <xdr:clientData/>
  </xdr:twoCellAnchor>
  <xdr:twoCellAnchor editAs="oneCell">
    <xdr:from>
      <xdr:col>11</xdr:col>
      <xdr:colOff>442637</xdr:colOff>
      <xdr:row>17</xdr:row>
      <xdr:rowOff>24349</xdr:rowOff>
    </xdr:from>
    <xdr:to>
      <xdr:col>12</xdr:col>
      <xdr:colOff>524324</xdr:colOff>
      <xdr:row>18</xdr:row>
      <xdr:rowOff>131128</xdr:rowOff>
    </xdr:to>
    <xdr:pic>
      <xdr:nvPicPr>
        <xdr:cNvPr id="54" name="Picture 53">
          <a:extLst>
            <a:ext uri="{FF2B5EF4-FFF2-40B4-BE49-F238E27FC236}">
              <a16:creationId xmlns:a16="http://schemas.microsoft.com/office/drawing/2014/main" id="{D45DF686-78E8-666F-5670-6CE0DCDBBEF8}"/>
            </a:ext>
          </a:extLst>
        </xdr:cNvPr>
        <xdr:cNvPicPr>
          <a:picLocks noChangeAspect="1"/>
        </xdr:cNvPicPr>
      </xdr:nvPicPr>
      <xdr:blipFill>
        <a:blip xmlns:r="http://schemas.openxmlformats.org/officeDocument/2006/relationships" r:embed="rId34"/>
        <a:stretch>
          <a:fillRect/>
        </a:stretch>
      </xdr:blipFill>
      <xdr:spPr>
        <a:xfrm>
          <a:off x="7189125" y="3183861"/>
          <a:ext cx="695004" cy="292633"/>
        </a:xfrm>
        <a:prstGeom prst="rect">
          <a:avLst/>
        </a:prstGeom>
      </xdr:spPr>
    </xdr:pic>
    <xdr:clientData/>
  </xdr:twoCellAnchor>
  <xdr:twoCellAnchor>
    <xdr:from>
      <xdr:col>11</xdr:col>
      <xdr:colOff>408878</xdr:colOff>
      <xdr:row>6</xdr:row>
      <xdr:rowOff>55756</xdr:rowOff>
    </xdr:from>
    <xdr:to>
      <xdr:col>12</xdr:col>
      <xdr:colOff>594731</xdr:colOff>
      <xdr:row>8</xdr:row>
      <xdr:rowOff>46463</xdr:rowOff>
    </xdr:to>
    <xdr:sp macro="" textlink="Rent">
      <xdr:nvSpPr>
        <xdr:cNvPr id="55" name="TextBox 54">
          <a:extLst>
            <a:ext uri="{FF2B5EF4-FFF2-40B4-BE49-F238E27FC236}">
              <a16:creationId xmlns:a16="http://schemas.microsoft.com/office/drawing/2014/main" id="{3CD8E8ED-C0A1-B8F3-76FE-0C40646A6EEC}"/>
            </a:ext>
          </a:extLst>
        </xdr:cNvPr>
        <xdr:cNvSpPr txBox="1"/>
      </xdr:nvSpPr>
      <xdr:spPr>
        <a:xfrm>
          <a:off x="7155366" y="1170878"/>
          <a:ext cx="799170"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845A93-6189-42DB-917C-174703305364}" type="TxLink">
            <a:rPr lang="en-US" sz="1400" b="1" i="0" u="none" strike="noStrike">
              <a:solidFill>
                <a:schemeClr val="bg1"/>
              </a:solidFill>
              <a:latin typeface="Calibri"/>
              <a:ea typeface="Calibri"/>
              <a:cs typeface="Calibri"/>
            </a:rPr>
            <a:pPr/>
            <a:t> $9,000 </a:t>
          </a:fld>
          <a:endParaRPr lang="en-US" sz="1400" b="1">
            <a:solidFill>
              <a:schemeClr val="bg1"/>
            </a:solidFill>
          </a:endParaRPr>
        </a:p>
      </xdr:txBody>
    </xdr:sp>
    <xdr:clientData/>
  </xdr:twoCellAnchor>
  <xdr:twoCellAnchor>
    <xdr:from>
      <xdr:col>11</xdr:col>
      <xdr:colOff>414760</xdr:colOff>
      <xdr:row>18</xdr:row>
      <xdr:rowOff>33641</xdr:rowOff>
    </xdr:from>
    <xdr:to>
      <xdr:col>12</xdr:col>
      <xdr:colOff>600613</xdr:colOff>
      <xdr:row>20</xdr:row>
      <xdr:rowOff>24348</xdr:rowOff>
    </xdr:to>
    <xdr:sp macro="" textlink="Cash_loan">
      <xdr:nvSpPr>
        <xdr:cNvPr id="56" name="TextBox 55">
          <a:extLst>
            <a:ext uri="{FF2B5EF4-FFF2-40B4-BE49-F238E27FC236}">
              <a16:creationId xmlns:a16="http://schemas.microsoft.com/office/drawing/2014/main" id="{655B4EA8-039B-49A5-A7C8-F5AC8EAA2F3A}"/>
            </a:ext>
          </a:extLst>
        </xdr:cNvPr>
        <xdr:cNvSpPr txBox="1"/>
      </xdr:nvSpPr>
      <xdr:spPr>
        <a:xfrm>
          <a:off x="7161248" y="3379007"/>
          <a:ext cx="799170"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546F8B-5988-4C9F-B1A8-4EE2DCFF12A2}" type="TxLink">
            <a:rPr lang="en-US" sz="1400" b="1" i="0" u="none" strike="noStrike">
              <a:solidFill>
                <a:schemeClr val="bg1"/>
              </a:solidFill>
              <a:latin typeface="Calibri"/>
              <a:ea typeface="Calibri"/>
              <a:cs typeface="Calibri"/>
            </a:rPr>
            <a:pPr marL="0" indent="0"/>
            <a:t> $1,500 </a:t>
          </a:fld>
          <a:endParaRPr lang="en-US" sz="1400" b="1" i="0" u="none" strike="noStrike">
            <a:solidFill>
              <a:schemeClr val="bg1"/>
            </a:solidFill>
            <a:latin typeface="Calibri"/>
            <a:ea typeface="Calibri"/>
            <a:cs typeface="Calibri"/>
          </a:endParaRPr>
        </a:p>
      </xdr:txBody>
    </xdr:sp>
    <xdr:clientData/>
  </xdr:twoCellAnchor>
  <xdr:twoCellAnchor>
    <xdr:from>
      <xdr:col>11</xdr:col>
      <xdr:colOff>418477</xdr:colOff>
      <xdr:row>15</xdr:row>
      <xdr:rowOff>28066</xdr:rowOff>
    </xdr:from>
    <xdr:to>
      <xdr:col>12</xdr:col>
      <xdr:colOff>604330</xdr:colOff>
      <xdr:row>17</xdr:row>
      <xdr:rowOff>18773</xdr:rowOff>
    </xdr:to>
    <xdr:sp macro="" textlink="Entertainment">
      <xdr:nvSpPr>
        <xdr:cNvPr id="57" name="TextBox 56">
          <a:extLst>
            <a:ext uri="{FF2B5EF4-FFF2-40B4-BE49-F238E27FC236}">
              <a16:creationId xmlns:a16="http://schemas.microsoft.com/office/drawing/2014/main" id="{11F5C407-E60C-4EB0-A74C-4C532B31877C}"/>
            </a:ext>
          </a:extLst>
        </xdr:cNvPr>
        <xdr:cNvSpPr txBox="1"/>
      </xdr:nvSpPr>
      <xdr:spPr>
        <a:xfrm>
          <a:off x="7164965" y="2815871"/>
          <a:ext cx="799170"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BFAB91-047A-4A41-9C1B-57EFD51A18CD}" type="TxLink">
            <a:rPr lang="en-US" sz="1400" b="1" i="0" u="none" strike="noStrike">
              <a:solidFill>
                <a:schemeClr val="bg1"/>
              </a:solidFill>
              <a:latin typeface="Calibri"/>
              <a:ea typeface="Calibri"/>
              <a:cs typeface="Calibri"/>
            </a:rPr>
            <a:pPr marL="0" indent="0"/>
            <a:t> $1,813 </a:t>
          </a:fld>
          <a:endParaRPr lang="en-US" sz="1400" b="1" i="0" u="none" strike="noStrike">
            <a:solidFill>
              <a:schemeClr val="bg1"/>
            </a:solidFill>
            <a:latin typeface="Calibri"/>
            <a:ea typeface="Calibri"/>
            <a:cs typeface="Calibri"/>
          </a:endParaRPr>
        </a:p>
      </xdr:txBody>
    </xdr:sp>
    <xdr:clientData/>
  </xdr:twoCellAnchor>
  <xdr:twoCellAnchor>
    <xdr:from>
      <xdr:col>11</xdr:col>
      <xdr:colOff>440780</xdr:colOff>
      <xdr:row>12</xdr:row>
      <xdr:rowOff>68953</xdr:rowOff>
    </xdr:from>
    <xdr:to>
      <xdr:col>13</xdr:col>
      <xdr:colOff>13316</xdr:colOff>
      <xdr:row>14</xdr:row>
      <xdr:rowOff>59660</xdr:rowOff>
    </xdr:to>
    <xdr:sp macro="" textlink="Clothes">
      <xdr:nvSpPr>
        <xdr:cNvPr id="58" name="TextBox 57">
          <a:extLst>
            <a:ext uri="{FF2B5EF4-FFF2-40B4-BE49-F238E27FC236}">
              <a16:creationId xmlns:a16="http://schemas.microsoft.com/office/drawing/2014/main" id="{0D49AF25-7D4C-4078-AAF2-CBDCDB0CF59F}"/>
            </a:ext>
          </a:extLst>
        </xdr:cNvPr>
        <xdr:cNvSpPr txBox="1"/>
      </xdr:nvSpPr>
      <xdr:spPr>
        <a:xfrm>
          <a:off x="7187268" y="2299197"/>
          <a:ext cx="799170"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AC285D-F7F6-4A51-A006-792E639E961D}" type="TxLink">
            <a:rPr lang="en-US" sz="1400" b="1" i="0" u="none" strike="noStrike">
              <a:solidFill>
                <a:schemeClr val="bg1"/>
              </a:solidFill>
              <a:latin typeface="Calibri"/>
              <a:ea typeface="Calibri"/>
              <a:cs typeface="Calibri"/>
            </a:rPr>
            <a:pPr marL="0" indent="0"/>
            <a:t> $4,304 </a:t>
          </a:fld>
          <a:endParaRPr lang="en-US" sz="1400" b="1" i="0" u="none" strike="noStrike">
            <a:solidFill>
              <a:schemeClr val="bg1"/>
            </a:solidFill>
            <a:latin typeface="Calibri"/>
            <a:ea typeface="Calibri"/>
            <a:cs typeface="Calibri"/>
          </a:endParaRPr>
        </a:p>
      </xdr:txBody>
    </xdr:sp>
    <xdr:clientData/>
  </xdr:twoCellAnchor>
  <xdr:twoCellAnchor>
    <xdr:from>
      <xdr:col>11</xdr:col>
      <xdr:colOff>416618</xdr:colOff>
      <xdr:row>9</xdr:row>
      <xdr:rowOff>81964</xdr:rowOff>
    </xdr:from>
    <xdr:to>
      <xdr:col>12</xdr:col>
      <xdr:colOff>602471</xdr:colOff>
      <xdr:row>11</xdr:row>
      <xdr:rowOff>72671</xdr:rowOff>
    </xdr:to>
    <xdr:sp macro="" textlink="Groceries">
      <xdr:nvSpPr>
        <xdr:cNvPr id="59" name="TextBox 58">
          <a:extLst>
            <a:ext uri="{FF2B5EF4-FFF2-40B4-BE49-F238E27FC236}">
              <a16:creationId xmlns:a16="http://schemas.microsoft.com/office/drawing/2014/main" id="{036EDFEE-85AF-475E-89B6-0EABF78B423C}"/>
            </a:ext>
          </a:extLst>
        </xdr:cNvPr>
        <xdr:cNvSpPr txBox="1"/>
      </xdr:nvSpPr>
      <xdr:spPr>
        <a:xfrm>
          <a:off x="7163106" y="1754647"/>
          <a:ext cx="799170"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97D55F-BFB6-4816-ACA3-E4F73DBEDBDD}" type="TxLink">
            <a:rPr lang="en-US" sz="1400" b="1" i="0" u="none" strike="noStrike">
              <a:solidFill>
                <a:schemeClr val="bg1"/>
              </a:solidFill>
              <a:latin typeface="Calibri"/>
              <a:ea typeface="Calibri"/>
              <a:cs typeface="Calibri"/>
            </a:rPr>
            <a:pPr marL="0" indent="0"/>
            <a:t> $6,454 </a:t>
          </a:fld>
          <a:endParaRPr lang="en-US" sz="1400" b="1" i="0" u="none" strike="noStrike">
            <a:solidFill>
              <a:schemeClr val="bg1"/>
            </a:solidFill>
            <a:latin typeface="Calibri"/>
            <a:ea typeface="Calibri"/>
            <a:cs typeface="Calibri"/>
          </a:endParaRPr>
        </a:p>
      </xdr:txBody>
    </xdr:sp>
    <xdr:clientData/>
  </xdr:twoCellAnchor>
  <xdr:twoCellAnchor editAs="oneCell">
    <xdr:from>
      <xdr:col>2</xdr:col>
      <xdr:colOff>331242</xdr:colOff>
      <xdr:row>22</xdr:row>
      <xdr:rowOff>99281</xdr:rowOff>
    </xdr:from>
    <xdr:to>
      <xdr:col>5</xdr:col>
      <xdr:colOff>429987</xdr:colOff>
      <xdr:row>23</xdr:row>
      <xdr:rowOff>29261</xdr:rowOff>
    </xdr:to>
    <xdr:pic>
      <xdr:nvPicPr>
        <xdr:cNvPr id="61" name="Picture 60">
          <a:extLst>
            <a:ext uri="{FF2B5EF4-FFF2-40B4-BE49-F238E27FC236}">
              <a16:creationId xmlns:a16="http://schemas.microsoft.com/office/drawing/2014/main" id="{FDB0672E-2F20-1000-64E2-C6CB097BD122}"/>
            </a:ext>
          </a:extLst>
        </xdr:cNvPr>
        <xdr:cNvPicPr>
          <a:picLocks noChangeAspect="1"/>
        </xdr:cNvPicPr>
      </xdr:nvPicPr>
      <xdr:blipFill>
        <a:blip xmlns:r="http://schemas.openxmlformats.org/officeDocument/2006/relationships" r:embed="rId35"/>
        <a:stretch>
          <a:fillRect/>
        </a:stretch>
      </xdr:blipFill>
      <xdr:spPr>
        <a:xfrm>
          <a:off x="1557876" y="4188061"/>
          <a:ext cx="1938696" cy="115834"/>
        </a:xfrm>
        <a:prstGeom prst="rect">
          <a:avLst/>
        </a:prstGeom>
      </xdr:spPr>
    </xdr:pic>
    <xdr:clientData/>
  </xdr:twoCellAnchor>
  <xdr:twoCellAnchor editAs="oneCell">
    <xdr:from>
      <xdr:col>10</xdr:col>
      <xdr:colOff>201144</xdr:colOff>
      <xdr:row>22</xdr:row>
      <xdr:rowOff>99281</xdr:rowOff>
    </xdr:from>
    <xdr:to>
      <xdr:col>13</xdr:col>
      <xdr:colOff>251117</xdr:colOff>
      <xdr:row>23</xdr:row>
      <xdr:rowOff>29261</xdr:rowOff>
    </xdr:to>
    <xdr:pic>
      <xdr:nvPicPr>
        <xdr:cNvPr id="62" name="Picture 61">
          <a:extLst>
            <a:ext uri="{FF2B5EF4-FFF2-40B4-BE49-F238E27FC236}">
              <a16:creationId xmlns:a16="http://schemas.microsoft.com/office/drawing/2014/main" id="{EBF0D7BF-628B-FD30-7C4F-AC90D2182583}"/>
            </a:ext>
          </a:extLst>
        </xdr:cNvPr>
        <xdr:cNvPicPr>
          <a:picLocks noChangeAspect="1"/>
        </xdr:cNvPicPr>
      </xdr:nvPicPr>
      <xdr:blipFill>
        <a:blip xmlns:r="http://schemas.openxmlformats.org/officeDocument/2006/relationships" r:embed="rId36"/>
        <a:stretch>
          <a:fillRect/>
        </a:stretch>
      </xdr:blipFill>
      <xdr:spPr>
        <a:xfrm>
          <a:off x="6334315" y="4188061"/>
          <a:ext cx="1889924" cy="115834"/>
        </a:xfrm>
        <a:prstGeom prst="rect">
          <a:avLst/>
        </a:prstGeom>
      </xdr:spPr>
    </xdr:pic>
    <xdr:clientData/>
  </xdr:twoCellAnchor>
  <xdr:twoCellAnchor editAs="oneCell">
    <xdr:from>
      <xdr:col>6</xdr:col>
      <xdr:colOff>535682</xdr:colOff>
      <xdr:row>23</xdr:row>
      <xdr:rowOff>117867</xdr:rowOff>
    </xdr:from>
    <xdr:to>
      <xdr:col>8</xdr:col>
      <xdr:colOff>71113</xdr:colOff>
      <xdr:row>24</xdr:row>
      <xdr:rowOff>47847</xdr:rowOff>
    </xdr:to>
    <xdr:pic>
      <xdr:nvPicPr>
        <xdr:cNvPr id="63" name="Picture 62">
          <a:extLst>
            <a:ext uri="{FF2B5EF4-FFF2-40B4-BE49-F238E27FC236}">
              <a16:creationId xmlns:a16="http://schemas.microsoft.com/office/drawing/2014/main" id="{CC03244C-3B44-AA0D-EEBA-1985F9C87608}"/>
            </a:ext>
          </a:extLst>
        </xdr:cNvPr>
        <xdr:cNvPicPr>
          <a:picLocks noChangeAspect="1"/>
        </xdr:cNvPicPr>
      </xdr:nvPicPr>
      <xdr:blipFill>
        <a:blip xmlns:r="http://schemas.openxmlformats.org/officeDocument/2006/relationships" r:embed="rId37"/>
        <a:stretch>
          <a:fillRect/>
        </a:stretch>
      </xdr:blipFill>
      <xdr:spPr>
        <a:xfrm>
          <a:off x="4215584" y="4392501"/>
          <a:ext cx="762066" cy="115834"/>
        </a:xfrm>
        <a:prstGeom prst="rect">
          <a:avLst/>
        </a:prstGeom>
      </xdr:spPr>
    </xdr:pic>
    <xdr:clientData/>
  </xdr:twoCellAnchor>
  <xdr:twoCellAnchor editAs="oneCell">
    <xdr:from>
      <xdr:col>8</xdr:col>
      <xdr:colOff>340535</xdr:colOff>
      <xdr:row>23</xdr:row>
      <xdr:rowOff>117866</xdr:rowOff>
    </xdr:from>
    <xdr:to>
      <xdr:col>9</xdr:col>
      <xdr:colOff>385643</xdr:colOff>
      <xdr:row>24</xdr:row>
      <xdr:rowOff>23460</xdr:rowOff>
    </xdr:to>
    <xdr:pic>
      <xdr:nvPicPr>
        <xdr:cNvPr id="64" name="Picture 63">
          <a:extLst>
            <a:ext uri="{FF2B5EF4-FFF2-40B4-BE49-F238E27FC236}">
              <a16:creationId xmlns:a16="http://schemas.microsoft.com/office/drawing/2014/main" id="{78C88B8E-9356-AA7B-9FEF-04BE2F604836}"/>
            </a:ext>
          </a:extLst>
        </xdr:cNvPr>
        <xdr:cNvPicPr>
          <a:picLocks noChangeAspect="1"/>
        </xdr:cNvPicPr>
      </xdr:nvPicPr>
      <xdr:blipFill>
        <a:blip xmlns:r="http://schemas.openxmlformats.org/officeDocument/2006/relationships" r:embed="rId38"/>
        <a:stretch>
          <a:fillRect/>
        </a:stretch>
      </xdr:blipFill>
      <xdr:spPr>
        <a:xfrm>
          <a:off x="5247072" y="4392500"/>
          <a:ext cx="658425" cy="91448"/>
        </a:xfrm>
        <a:prstGeom prst="rect">
          <a:avLst/>
        </a:prstGeom>
      </xdr:spPr>
    </xdr:pic>
    <xdr:clientData/>
  </xdr:twoCellAnchor>
  <xdr:twoCellAnchor>
    <xdr:from>
      <xdr:col>8</xdr:col>
      <xdr:colOff>213732</xdr:colOff>
      <xdr:row>22</xdr:row>
      <xdr:rowOff>0</xdr:rowOff>
    </xdr:from>
    <xdr:to>
      <xdr:col>10</xdr:col>
      <xdr:colOff>102219</xdr:colOff>
      <xdr:row>23</xdr:row>
      <xdr:rowOff>139389</xdr:rowOff>
    </xdr:to>
    <xdr:sp macro="" textlink="Max_of_credit">
      <xdr:nvSpPr>
        <xdr:cNvPr id="65" name="TextBox 64">
          <a:extLst>
            <a:ext uri="{FF2B5EF4-FFF2-40B4-BE49-F238E27FC236}">
              <a16:creationId xmlns:a16="http://schemas.microsoft.com/office/drawing/2014/main" id="{F9ED9E83-8D38-731E-AD24-BAA1CA1509E2}"/>
            </a:ext>
          </a:extLst>
        </xdr:cNvPr>
        <xdr:cNvSpPr txBox="1"/>
      </xdr:nvSpPr>
      <xdr:spPr>
        <a:xfrm>
          <a:off x="5120269" y="4088780"/>
          <a:ext cx="1115121" cy="325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4C99A1-5356-46B3-BF4F-0734CEE965E3}" type="TxLink">
            <a:rPr lang="en-US" sz="1600" b="1" i="0" u="none" strike="noStrike">
              <a:solidFill>
                <a:schemeClr val="bg1"/>
              </a:solidFill>
              <a:latin typeface="Calibri"/>
              <a:ea typeface="Calibri"/>
              <a:cs typeface="Calibri"/>
            </a:rPr>
            <a:pPr marL="0" indent="0"/>
            <a:t> $5,000 </a:t>
          </a:fld>
          <a:endParaRPr lang="en-US" sz="1600" b="1" i="0" u="none" strike="noStrike">
            <a:solidFill>
              <a:schemeClr val="bg1"/>
            </a:solidFill>
            <a:latin typeface="Calibri"/>
            <a:ea typeface="Calibri"/>
            <a:cs typeface="Calibri"/>
          </a:endParaRPr>
        </a:p>
      </xdr:txBody>
    </xdr:sp>
    <xdr:clientData/>
  </xdr:twoCellAnchor>
  <xdr:twoCellAnchor>
    <xdr:from>
      <xdr:col>6</xdr:col>
      <xdr:colOff>589157</xdr:colOff>
      <xdr:row>22</xdr:row>
      <xdr:rowOff>13011</xdr:rowOff>
    </xdr:from>
    <xdr:to>
      <xdr:col>8</xdr:col>
      <xdr:colOff>83633</xdr:colOff>
      <xdr:row>23</xdr:row>
      <xdr:rowOff>130097</xdr:rowOff>
    </xdr:to>
    <xdr:sp macro="" textlink="Max_of_debit">
      <xdr:nvSpPr>
        <xdr:cNvPr id="66" name="TextBox 65">
          <a:extLst>
            <a:ext uri="{FF2B5EF4-FFF2-40B4-BE49-F238E27FC236}">
              <a16:creationId xmlns:a16="http://schemas.microsoft.com/office/drawing/2014/main" id="{938F6093-78CC-4DB9-BB15-0D5804C3675A}"/>
            </a:ext>
          </a:extLst>
        </xdr:cNvPr>
        <xdr:cNvSpPr txBox="1"/>
      </xdr:nvSpPr>
      <xdr:spPr>
        <a:xfrm>
          <a:off x="4269059" y="4101791"/>
          <a:ext cx="721111" cy="30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94C8C7-EA2C-4477-B380-2EB36CE58DEC}" type="TxLink">
            <a:rPr lang="en-US" sz="1600" b="1" i="0" u="none" strike="noStrike">
              <a:solidFill>
                <a:schemeClr val="bg1"/>
              </a:solidFill>
              <a:latin typeface="Calibri"/>
              <a:ea typeface="Calibri"/>
              <a:cs typeface="Calibri"/>
            </a:rPr>
            <a:pPr/>
            <a:t> $900 </a:t>
          </a:fld>
          <a:endParaRPr lang="en-US" sz="1600" b="1">
            <a:solidFill>
              <a:schemeClr val="bg1"/>
            </a:solidFill>
          </a:endParaRPr>
        </a:p>
      </xdr:txBody>
    </xdr:sp>
    <xdr:clientData/>
  </xdr:twoCellAnchor>
  <xdr:twoCellAnchor>
    <xdr:from>
      <xdr:col>2</xdr:col>
      <xdr:colOff>139391</xdr:colOff>
      <xdr:row>23</xdr:row>
      <xdr:rowOff>120805</xdr:rowOff>
    </xdr:from>
    <xdr:to>
      <xdr:col>8</xdr:col>
      <xdr:colOff>148683</xdr:colOff>
      <xdr:row>32</xdr:row>
      <xdr:rowOff>37172</xdr:rowOff>
    </xdr:to>
    <xdr:graphicFrame macro="">
      <xdr:nvGraphicFramePr>
        <xdr:cNvPr id="69" name="Chart 68">
          <a:extLst>
            <a:ext uri="{FF2B5EF4-FFF2-40B4-BE49-F238E27FC236}">
              <a16:creationId xmlns:a16="http://schemas.microsoft.com/office/drawing/2014/main" id="{B34C41F9-D6DA-4A5A-AD52-AE2F3329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xdr:col>
      <xdr:colOff>148683</xdr:colOff>
      <xdr:row>23</xdr:row>
      <xdr:rowOff>48846</xdr:rowOff>
    </xdr:from>
    <xdr:to>
      <xdr:col>13</xdr:col>
      <xdr:colOff>306658</xdr:colOff>
      <xdr:row>32</xdr:row>
      <xdr:rowOff>18585</xdr:rowOff>
    </xdr:to>
    <xdr:graphicFrame macro="">
      <xdr:nvGraphicFramePr>
        <xdr:cNvPr id="60" name="Chart 59">
          <a:extLst>
            <a:ext uri="{FF2B5EF4-FFF2-40B4-BE49-F238E27FC236}">
              <a16:creationId xmlns:a16="http://schemas.microsoft.com/office/drawing/2014/main" id="{60DAB8AB-C323-41D5-A19F-1DE7B9C55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xdr:col>
      <xdr:colOff>389282</xdr:colOff>
      <xdr:row>0</xdr:row>
      <xdr:rowOff>140803</xdr:rowOff>
    </xdr:from>
    <xdr:to>
      <xdr:col>7</xdr:col>
      <xdr:colOff>182216</xdr:colOff>
      <xdr:row>2</xdr:row>
      <xdr:rowOff>140803</xdr:rowOff>
    </xdr:to>
    <xdr:sp macro="" textlink="">
      <xdr:nvSpPr>
        <xdr:cNvPr id="67" name="TextBox 66">
          <a:extLst>
            <a:ext uri="{FF2B5EF4-FFF2-40B4-BE49-F238E27FC236}">
              <a16:creationId xmlns:a16="http://schemas.microsoft.com/office/drawing/2014/main" id="{B9EA30BB-6FCF-4418-8FDF-41740CFC6405}"/>
            </a:ext>
          </a:extLst>
        </xdr:cNvPr>
        <xdr:cNvSpPr txBox="1"/>
      </xdr:nvSpPr>
      <xdr:spPr>
        <a:xfrm>
          <a:off x="1615108" y="140803"/>
          <a:ext cx="28574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B6D7FF"/>
              </a:solidFill>
            </a:rPr>
            <a:t>Personal</a:t>
          </a:r>
          <a:r>
            <a:rPr lang="en-US" sz="1800" b="0" baseline="0">
              <a:solidFill>
                <a:srgbClr val="B6D7FF"/>
              </a:solidFill>
            </a:rPr>
            <a:t> </a:t>
          </a:r>
          <a:r>
            <a:rPr lang="en-US" sz="2000" b="0" baseline="0">
              <a:solidFill>
                <a:srgbClr val="B6D7FF"/>
              </a:solidFill>
            </a:rPr>
            <a:t>Finance</a:t>
          </a:r>
          <a:r>
            <a:rPr lang="en-US" sz="1800" b="0" baseline="0">
              <a:solidFill>
                <a:srgbClr val="B6D7FF"/>
              </a:solidFill>
            </a:rPr>
            <a:t> </a:t>
          </a:r>
          <a:r>
            <a:rPr lang="en-US" sz="1800" b="0" baseline="0">
              <a:solidFill>
                <a:srgbClr val="1F92C5"/>
              </a:solidFill>
            </a:rPr>
            <a:t>Navigator</a:t>
          </a:r>
          <a:endParaRPr lang="en-US" sz="1800" b="0">
            <a:solidFill>
              <a:srgbClr val="1F92C5"/>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0.37277</cdr:x>
      <cdr:y>0.39374</cdr:y>
    </cdr:from>
    <cdr:to>
      <cdr:x>0.60255</cdr:x>
      <cdr:y>0.59143</cdr:y>
    </cdr:to>
    <cdr:sp macro="" textlink="">
      <cdr:nvSpPr>
        <cdr:cNvPr id="2" name="TextBox 1">
          <a:extLst xmlns:a="http://schemas.openxmlformats.org/drawingml/2006/main">
            <a:ext uri="{FF2B5EF4-FFF2-40B4-BE49-F238E27FC236}">
              <a16:creationId xmlns:a16="http://schemas.microsoft.com/office/drawing/2014/main" id="{36564F9A-D4ED-3B53-0A48-618325E7DD02}"/>
            </a:ext>
          </a:extLst>
        </cdr:cNvPr>
        <cdr:cNvSpPr txBox="1"/>
      </cdr:nvSpPr>
      <cdr:spPr>
        <a:xfrm xmlns:a="http://schemas.openxmlformats.org/drawingml/2006/main">
          <a:off x="1059543" y="578153"/>
          <a:ext cx="653142" cy="290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0.36769</cdr:x>
      <cdr:y>0.389</cdr:y>
    </cdr:from>
    <cdr:to>
      <cdr:x>0.64216</cdr:x>
      <cdr:y>0.57639</cdr:y>
    </cdr:to>
    <cdr:sp macro="" textlink="Income">
      <cdr:nvSpPr>
        <cdr:cNvPr id="3" name="TextBox 6">
          <a:extLst xmlns:a="http://schemas.openxmlformats.org/drawingml/2006/main">
            <a:ext uri="{FF2B5EF4-FFF2-40B4-BE49-F238E27FC236}">
              <a16:creationId xmlns:a16="http://schemas.microsoft.com/office/drawing/2014/main" id="{A7664754-764D-8885-F8A7-8FC58D58FA4D}"/>
            </a:ext>
          </a:extLst>
        </cdr:cNvPr>
        <cdr:cNvSpPr txBox="1"/>
      </cdr:nvSpPr>
      <cdr:spPr>
        <a:xfrm xmlns:a="http://schemas.openxmlformats.org/drawingml/2006/main">
          <a:off x="1045117" y="571190"/>
          <a:ext cx="780143" cy="27516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0740EA9-0F8F-4D41-8E6A-DF8A967A435D}" type="TxLink">
            <a:rPr lang="en-US" sz="1200" b="1" i="0" u="none" strike="noStrike">
              <a:solidFill>
                <a:schemeClr val="bg1"/>
              </a:solidFill>
              <a:latin typeface="Calibri"/>
              <a:ea typeface="Calibri"/>
              <a:cs typeface="Calibri"/>
            </a:rPr>
            <a:pPr/>
            <a:t> $65,440 </a:t>
          </a:fld>
          <a:endParaRPr lang="en-US" sz="1400" b="1">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251460</xdr:colOff>
      <xdr:row>48</xdr:row>
      <xdr:rowOff>140970</xdr:rowOff>
    </xdr:from>
    <xdr:to>
      <xdr:col>6</xdr:col>
      <xdr:colOff>22860</xdr:colOff>
      <xdr:row>63</xdr:row>
      <xdr:rowOff>140970</xdr:rowOff>
    </xdr:to>
    <xdr:graphicFrame macro="">
      <xdr:nvGraphicFramePr>
        <xdr:cNvPr id="2" name="Chart 1">
          <a:extLst>
            <a:ext uri="{FF2B5EF4-FFF2-40B4-BE49-F238E27FC236}">
              <a16:creationId xmlns:a16="http://schemas.microsoft.com/office/drawing/2014/main" id="{5C38BCF8-2E6C-67D4-5E3E-8A629B99D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48</xdr:row>
      <xdr:rowOff>95250</xdr:rowOff>
    </xdr:from>
    <xdr:to>
      <xdr:col>13</xdr:col>
      <xdr:colOff>205740</xdr:colOff>
      <xdr:row>63</xdr:row>
      <xdr:rowOff>95250</xdr:rowOff>
    </xdr:to>
    <xdr:graphicFrame macro="">
      <xdr:nvGraphicFramePr>
        <xdr:cNvPr id="3" name="Chart 2">
          <a:extLst>
            <a:ext uri="{FF2B5EF4-FFF2-40B4-BE49-F238E27FC236}">
              <a16:creationId xmlns:a16="http://schemas.microsoft.com/office/drawing/2014/main" id="{694C573D-8851-BF5D-D356-E67CE2FE2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517922</xdr:colOff>
      <xdr:row>1</xdr:row>
      <xdr:rowOff>170258</xdr:rowOff>
    </xdr:from>
    <xdr:to>
      <xdr:col>17</xdr:col>
      <xdr:colOff>250031</xdr:colOff>
      <xdr:row>13</xdr:row>
      <xdr:rowOff>107156</xdr:rowOff>
    </xdr:to>
    <xdr:graphicFrame macro="">
      <xdr:nvGraphicFramePr>
        <xdr:cNvPr id="4" name="Chart 3">
          <a:extLst>
            <a:ext uri="{FF2B5EF4-FFF2-40B4-BE49-F238E27FC236}">
              <a16:creationId xmlns:a16="http://schemas.microsoft.com/office/drawing/2014/main" id="{392ADD98-010D-9E9C-B292-DD39C6B97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77391</xdr:colOff>
      <xdr:row>16</xdr:row>
      <xdr:rowOff>158352</xdr:rowOff>
    </xdr:from>
    <xdr:to>
      <xdr:col>17</xdr:col>
      <xdr:colOff>511968</xdr:colOff>
      <xdr:row>30</xdr:row>
      <xdr:rowOff>119062</xdr:rowOff>
    </xdr:to>
    <xdr:graphicFrame macro="">
      <xdr:nvGraphicFramePr>
        <xdr:cNvPr id="6" name="Chart 5">
          <a:extLst>
            <a:ext uri="{FF2B5EF4-FFF2-40B4-BE49-F238E27FC236}">
              <a16:creationId xmlns:a16="http://schemas.microsoft.com/office/drawing/2014/main" id="{E412847D-7D1E-DF54-F831-1F861473E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270934</xdr:colOff>
      <xdr:row>12</xdr:row>
      <xdr:rowOff>50799</xdr:rowOff>
    </xdr:from>
    <xdr:to>
      <xdr:col>6</xdr:col>
      <xdr:colOff>440267</xdr:colOff>
      <xdr:row>20</xdr:row>
      <xdr:rowOff>67733</xdr:rowOff>
    </xdr:to>
    <xdr:graphicFrame macro="">
      <xdr:nvGraphicFramePr>
        <xdr:cNvPr id="9" name="Chart 8">
          <a:extLst>
            <a:ext uri="{FF2B5EF4-FFF2-40B4-BE49-F238E27FC236}">
              <a16:creationId xmlns:a16="http://schemas.microsoft.com/office/drawing/2014/main" id="{0DE61B2C-F610-6949-ADC2-9447335B3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986581</xdr:colOff>
      <xdr:row>6</xdr:row>
      <xdr:rowOff>124098</xdr:rowOff>
    </xdr:from>
    <xdr:to>
      <xdr:col>20</xdr:col>
      <xdr:colOff>304271</xdr:colOff>
      <xdr:row>24</xdr:row>
      <xdr:rowOff>73965</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1283A59F-27CD-7639-575D-A3B8F6B9AAD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609724" y="1212669"/>
              <a:ext cx="598475" cy="3215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644825</xdr:colOff>
      <xdr:row>15</xdr:row>
      <xdr:rowOff>94494</xdr:rowOff>
    </xdr:from>
    <xdr:to>
      <xdr:col>5</xdr:col>
      <xdr:colOff>620635</xdr:colOff>
      <xdr:row>17</xdr:row>
      <xdr:rowOff>9827</xdr:rowOff>
    </xdr:to>
    <xdr:sp macro="" textlink="Income">
      <xdr:nvSpPr>
        <xdr:cNvPr id="7" name="TextBox 6">
          <a:extLst>
            <a:ext uri="{FF2B5EF4-FFF2-40B4-BE49-F238E27FC236}">
              <a16:creationId xmlns:a16="http://schemas.microsoft.com/office/drawing/2014/main" id="{A7664754-764D-8885-F8A7-8FC58D58FA4D}"/>
            </a:ext>
          </a:extLst>
        </xdr:cNvPr>
        <xdr:cNvSpPr txBox="1"/>
      </xdr:nvSpPr>
      <xdr:spPr>
        <a:xfrm>
          <a:off x="4640033" y="2872619"/>
          <a:ext cx="75633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655A77-E1CD-4DD3-86D7-FD1595C72041}" type="TxLink">
            <a:rPr lang="en-US" sz="1100" b="0" i="0" u="none" strike="noStrike">
              <a:solidFill>
                <a:srgbClr val="000000"/>
              </a:solidFill>
              <a:latin typeface="Calibri"/>
              <a:ea typeface="Calibri"/>
              <a:cs typeface="Calibri"/>
            </a:rPr>
            <a:pPr/>
            <a:t> $65,440 </a:t>
          </a:fld>
          <a:endParaRPr lang="en-US"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0.37277</cdr:x>
      <cdr:y>0.39374</cdr:y>
    </cdr:from>
    <cdr:to>
      <cdr:x>0.60255</cdr:x>
      <cdr:y>0.59143</cdr:y>
    </cdr:to>
    <cdr:sp macro="" textlink="">
      <cdr:nvSpPr>
        <cdr:cNvPr id="2" name="TextBox 1">
          <a:extLst xmlns:a="http://schemas.openxmlformats.org/drawingml/2006/main">
            <a:ext uri="{FF2B5EF4-FFF2-40B4-BE49-F238E27FC236}">
              <a16:creationId xmlns:a16="http://schemas.microsoft.com/office/drawing/2014/main" id="{36564F9A-D4ED-3B53-0A48-618325E7DD02}"/>
            </a:ext>
          </a:extLst>
        </cdr:cNvPr>
        <cdr:cNvSpPr txBox="1"/>
      </cdr:nvSpPr>
      <cdr:spPr>
        <a:xfrm xmlns:a="http://schemas.openxmlformats.org/drawingml/2006/main">
          <a:off x="1059543" y="578153"/>
          <a:ext cx="653142" cy="2902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4.484183796296" createdVersion="8" refreshedVersion="8" minRefreshableVersion="3" recordCount="486" xr:uid="{FBEA8201-1921-49AA-B4D8-952FA8DFFA14}">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4">
      <sharedItems containsString="0" containsBlank="1" containsNumber="1" minValue="5" maxValue="900" count="177">
        <m/>
        <n v="5"/>
        <n v="900"/>
        <n v="150"/>
        <n v="155"/>
        <n v="50"/>
        <n v="77"/>
        <n v="135"/>
        <n v="40"/>
        <n v="98"/>
        <n v="52"/>
        <n v="28"/>
        <n v="45"/>
        <n v="32"/>
        <n v="170"/>
        <n v="37"/>
        <n v="12"/>
        <n v="55"/>
        <n v="63"/>
        <n v="162"/>
        <n v="125"/>
        <n v="175"/>
        <n v="145"/>
        <n v="23"/>
        <n v="205"/>
        <n v="51.1"/>
        <n v="78"/>
        <n v="135.9"/>
        <n v="40.9"/>
        <n v="99"/>
        <n v="53"/>
        <n v="28.9"/>
        <n v="45.9"/>
        <n v="35"/>
        <n v="171"/>
        <n v="37.9"/>
        <n v="12.9"/>
        <n v="64.099999999999994"/>
        <n v="162.9"/>
        <n v="125.9"/>
        <n v="137"/>
        <n v="146.1"/>
        <n v="24.1"/>
        <n v="149"/>
        <n v="52.1"/>
        <n v="78.900000000000006"/>
        <n v="41.8"/>
        <n v="99.9"/>
        <n v="54"/>
        <n v="30"/>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sharedItems>
    </cacheField>
    <cacheField name="Credit" numFmtId="164">
      <sharedItems containsString="0" containsBlank="1" containsNumber="1" containsInteger="1" minValue="100" maxValue="5000" count="8">
        <n v="5000"/>
        <m/>
        <n v="4500"/>
        <n v="800"/>
        <n v="1000"/>
        <n v="2340"/>
        <n v="100"/>
        <n v="200"/>
      </sharedItems>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ount="8">
        <s v="Salary"/>
        <s v="Dining Out"/>
        <s v="Living Expenses"/>
        <s v="Transport"/>
        <s v="Discretionary"/>
        <s v="Passive"/>
        <s v="Charity"/>
        <s v="Medical"/>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4">
      <sharedItems containsSemiMixedTypes="0" containsString="0" containsNumber="1" minValue="-900" maxValue="5000"/>
    </cacheField>
  </cacheFields>
  <extLst>
    <ext xmlns:x14="http://schemas.microsoft.com/office/spreadsheetml/2009/9/main" uri="{725AE2AE-9491-48be-B2B4-4EB974FC3084}">
      <x14:pivotCacheDefinition pivotCacheId="1484033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d v="2021-01-04T00:00:00"/>
    <s v="Data With Decision"/>
    <x v="0"/>
    <x v="0"/>
    <x v="0"/>
    <x v="0"/>
    <x v="0"/>
    <x v="0"/>
    <x v="0"/>
    <x v="0"/>
    <n v="5000"/>
  </r>
  <r>
    <d v="2021-01-04T00:00:00"/>
    <s v="Drink"/>
    <x v="1"/>
    <x v="1"/>
    <x v="1"/>
    <x v="1"/>
    <x v="1"/>
    <x v="0"/>
    <x v="0"/>
    <x v="0"/>
    <n v="-5"/>
  </r>
  <r>
    <d v="2021-01-05T00:00:00"/>
    <s v="Estate Mangement"/>
    <x v="2"/>
    <x v="1"/>
    <x v="2"/>
    <x v="2"/>
    <x v="1"/>
    <x v="0"/>
    <x v="0"/>
    <x v="1"/>
    <n v="-900"/>
  </r>
  <r>
    <d v="2021-01-05T00:00:00"/>
    <s v="Financail upgrade"/>
    <x v="3"/>
    <x v="1"/>
    <x v="3"/>
    <x v="3"/>
    <x v="1"/>
    <x v="0"/>
    <x v="0"/>
    <x v="1"/>
    <n v="-150"/>
  </r>
  <r>
    <d v="2021-01-05T00:00:00"/>
    <s v="Drink"/>
    <x v="1"/>
    <x v="1"/>
    <x v="1"/>
    <x v="1"/>
    <x v="1"/>
    <x v="0"/>
    <x v="0"/>
    <x v="1"/>
    <n v="-5"/>
  </r>
  <r>
    <d v="2021-01-06T00:00:00"/>
    <s v="Drink"/>
    <x v="1"/>
    <x v="1"/>
    <x v="1"/>
    <x v="1"/>
    <x v="1"/>
    <x v="0"/>
    <x v="0"/>
    <x v="2"/>
    <n v="-5"/>
  </r>
  <r>
    <d v="2021-01-07T00:00:00"/>
    <s v="Drink"/>
    <x v="1"/>
    <x v="1"/>
    <x v="1"/>
    <x v="1"/>
    <x v="1"/>
    <x v="0"/>
    <x v="0"/>
    <x v="3"/>
    <n v="-5"/>
  </r>
  <r>
    <d v="2021-01-08T00:00:00"/>
    <s v="Drink"/>
    <x v="1"/>
    <x v="1"/>
    <x v="1"/>
    <x v="1"/>
    <x v="1"/>
    <x v="0"/>
    <x v="0"/>
    <x v="4"/>
    <n v="-5"/>
  </r>
  <r>
    <d v="2021-01-08T00:00:00"/>
    <s v="Green's"/>
    <x v="4"/>
    <x v="1"/>
    <x v="4"/>
    <x v="2"/>
    <x v="1"/>
    <x v="0"/>
    <x v="0"/>
    <x v="4"/>
    <n v="-155"/>
  </r>
  <r>
    <d v="2021-01-11T00:00:00"/>
    <s v="Power source"/>
    <x v="5"/>
    <x v="1"/>
    <x v="5"/>
    <x v="2"/>
    <x v="1"/>
    <x v="0"/>
    <x v="0"/>
    <x v="0"/>
    <n v="-50"/>
  </r>
  <r>
    <d v="2021-01-11T00:00:00"/>
    <s v="Drink"/>
    <x v="1"/>
    <x v="1"/>
    <x v="1"/>
    <x v="1"/>
    <x v="1"/>
    <x v="0"/>
    <x v="0"/>
    <x v="0"/>
    <n v="-5"/>
  </r>
  <r>
    <d v="2021-01-12T00:00:00"/>
    <s v="Drink"/>
    <x v="1"/>
    <x v="1"/>
    <x v="1"/>
    <x v="1"/>
    <x v="1"/>
    <x v="0"/>
    <x v="0"/>
    <x v="1"/>
    <n v="-5"/>
  </r>
  <r>
    <d v="2021-01-13T00:00:00"/>
    <s v="Fuel"/>
    <x v="6"/>
    <x v="1"/>
    <x v="1"/>
    <x v="1"/>
    <x v="1"/>
    <x v="0"/>
    <x v="0"/>
    <x v="2"/>
    <n v="-77"/>
  </r>
  <r>
    <d v="2021-01-13T00:00:00"/>
    <s v="Drink"/>
    <x v="1"/>
    <x v="1"/>
    <x v="1"/>
    <x v="1"/>
    <x v="1"/>
    <x v="0"/>
    <x v="0"/>
    <x v="2"/>
    <n v="-5"/>
  </r>
  <r>
    <d v="2021-01-14T00:00:00"/>
    <s v="Drink"/>
    <x v="1"/>
    <x v="1"/>
    <x v="1"/>
    <x v="1"/>
    <x v="1"/>
    <x v="0"/>
    <x v="0"/>
    <x v="3"/>
    <n v="-5"/>
  </r>
  <r>
    <d v="2021-01-15T00:00:00"/>
    <s v="Green's"/>
    <x v="7"/>
    <x v="1"/>
    <x v="4"/>
    <x v="2"/>
    <x v="1"/>
    <x v="0"/>
    <x v="0"/>
    <x v="4"/>
    <n v="-135"/>
  </r>
  <r>
    <d v="2021-01-15T00:00:00"/>
    <s v="Drink"/>
    <x v="1"/>
    <x v="1"/>
    <x v="1"/>
    <x v="1"/>
    <x v="1"/>
    <x v="0"/>
    <x v="0"/>
    <x v="4"/>
    <n v="-5"/>
  </r>
  <r>
    <d v="2021-01-16T00:00:00"/>
    <s v="Drink"/>
    <x v="1"/>
    <x v="1"/>
    <x v="1"/>
    <x v="1"/>
    <x v="1"/>
    <x v="0"/>
    <x v="0"/>
    <x v="5"/>
    <n v="-5"/>
  </r>
  <r>
    <d v="2021-01-16T00:00:00"/>
    <s v="Cinemas"/>
    <x v="8"/>
    <x v="1"/>
    <x v="6"/>
    <x v="4"/>
    <x v="1"/>
    <x v="0"/>
    <x v="0"/>
    <x v="5"/>
    <n v="-40"/>
  </r>
  <r>
    <d v="2021-01-16T00:00:00"/>
    <s v="Fashionistas"/>
    <x v="9"/>
    <x v="1"/>
    <x v="7"/>
    <x v="4"/>
    <x v="1"/>
    <x v="0"/>
    <x v="0"/>
    <x v="5"/>
    <n v="-98"/>
  </r>
  <r>
    <d v="2021-01-16T00:00:00"/>
    <s v="Burger"/>
    <x v="10"/>
    <x v="1"/>
    <x v="8"/>
    <x v="1"/>
    <x v="1"/>
    <x v="0"/>
    <x v="0"/>
    <x v="5"/>
    <n v="-52"/>
  </r>
  <r>
    <d v="2021-01-17T00:00:00"/>
    <s v="Uba"/>
    <x v="11"/>
    <x v="1"/>
    <x v="9"/>
    <x v="3"/>
    <x v="1"/>
    <x v="0"/>
    <x v="0"/>
    <x v="6"/>
    <n v="-28"/>
  </r>
  <r>
    <d v="2021-01-18T00:00:00"/>
    <s v="Onlne earning"/>
    <x v="0"/>
    <x v="2"/>
    <x v="10"/>
    <x v="5"/>
    <x v="0"/>
    <x v="0"/>
    <x v="0"/>
    <x v="0"/>
    <n v="4500"/>
  </r>
  <r>
    <d v="2021-01-18T00:00:00"/>
    <s v="Drink"/>
    <x v="1"/>
    <x v="1"/>
    <x v="1"/>
    <x v="1"/>
    <x v="1"/>
    <x v="0"/>
    <x v="0"/>
    <x v="0"/>
    <n v="-5"/>
  </r>
  <r>
    <d v="2021-01-19T00:00:00"/>
    <s v="Drink"/>
    <x v="1"/>
    <x v="1"/>
    <x v="1"/>
    <x v="1"/>
    <x v="1"/>
    <x v="0"/>
    <x v="0"/>
    <x v="1"/>
    <n v="-5"/>
  </r>
  <r>
    <d v="2021-01-19T00:00:00"/>
    <s v="Onlne earning"/>
    <x v="0"/>
    <x v="2"/>
    <x v="11"/>
    <x v="5"/>
    <x v="0"/>
    <x v="0"/>
    <x v="0"/>
    <x v="1"/>
    <n v="4500"/>
  </r>
  <r>
    <d v="2021-01-19T00:00:00"/>
    <s v="Phone"/>
    <x v="8"/>
    <x v="1"/>
    <x v="12"/>
    <x v="2"/>
    <x v="1"/>
    <x v="0"/>
    <x v="0"/>
    <x v="1"/>
    <n v="-40"/>
  </r>
  <r>
    <d v="2021-01-20T00:00:00"/>
    <s v="Sallah give away"/>
    <x v="12"/>
    <x v="1"/>
    <x v="13"/>
    <x v="4"/>
    <x v="1"/>
    <x v="0"/>
    <x v="0"/>
    <x v="2"/>
    <n v="-45"/>
  </r>
  <r>
    <d v="2021-01-20T00:00:00"/>
    <s v="Online streaming"/>
    <x v="13"/>
    <x v="1"/>
    <x v="6"/>
    <x v="4"/>
    <x v="1"/>
    <x v="0"/>
    <x v="0"/>
    <x v="2"/>
    <n v="-32"/>
  </r>
  <r>
    <d v="2021-01-20T00:00:00"/>
    <s v="Drink"/>
    <x v="1"/>
    <x v="1"/>
    <x v="1"/>
    <x v="1"/>
    <x v="1"/>
    <x v="0"/>
    <x v="0"/>
    <x v="2"/>
    <n v="-5"/>
  </r>
  <r>
    <d v="2021-01-21T00:00:00"/>
    <s v="Drink"/>
    <x v="1"/>
    <x v="1"/>
    <x v="1"/>
    <x v="1"/>
    <x v="1"/>
    <x v="0"/>
    <x v="0"/>
    <x v="3"/>
    <n v="-5"/>
  </r>
  <r>
    <d v="2021-01-22T00:00:00"/>
    <s v="Drink"/>
    <x v="1"/>
    <x v="1"/>
    <x v="1"/>
    <x v="1"/>
    <x v="1"/>
    <x v="0"/>
    <x v="0"/>
    <x v="4"/>
    <n v="-5"/>
  </r>
  <r>
    <d v="2021-01-22T00:00:00"/>
    <s v="Green's"/>
    <x v="14"/>
    <x v="1"/>
    <x v="4"/>
    <x v="2"/>
    <x v="1"/>
    <x v="0"/>
    <x v="0"/>
    <x v="4"/>
    <n v="-170"/>
  </r>
  <r>
    <d v="2021-01-23T00:00:00"/>
    <s v="Suya"/>
    <x v="15"/>
    <x v="1"/>
    <x v="8"/>
    <x v="1"/>
    <x v="1"/>
    <x v="0"/>
    <x v="0"/>
    <x v="5"/>
    <n v="-37"/>
  </r>
  <r>
    <d v="2021-01-24T00:00:00"/>
    <s v="Oha soup/White soup"/>
    <x v="16"/>
    <x v="1"/>
    <x v="8"/>
    <x v="1"/>
    <x v="1"/>
    <x v="0"/>
    <x v="0"/>
    <x v="6"/>
    <n v="-12"/>
  </r>
  <r>
    <d v="2021-01-25T00:00:00"/>
    <s v="Orphanage"/>
    <x v="17"/>
    <x v="1"/>
    <x v="14"/>
    <x v="6"/>
    <x v="1"/>
    <x v="0"/>
    <x v="0"/>
    <x v="0"/>
    <n v="-55"/>
  </r>
  <r>
    <d v="2021-01-25T00:00:00"/>
    <s v="Fuel"/>
    <x v="18"/>
    <x v="1"/>
    <x v="15"/>
    <x v="3"/>
    <x v="1"/>
    <x v="0"/>
    <x v="0"/>
    <x v="0"/>
    <n v="-63"/>
  </r>
  <r>
    <d v="2021-01-25T00:00:00"/>
    <s v="Drink"/>
    <x v="1"/>
    <x v="1"/>
    <x v="1"/>
    <x v="1"/>
    <x v="1"/>
    <x v="0"/>
    <x v="0"/>
    <x v="0"/>
    <n v="-5"/>
  </r>
  <r>
    <d v="2021-01-26T00:00:00"/>
    <s v="Drink"/>
    <x v="1"/>
    <x v="1"/>
    <x v="1"/>
    <x v="1"/>
    <x v="1"/>
    <x v="0"/>
    <x v="0"/>
    <x v="1"/>
    <n v="-5"/>
  </r>
  <r>
    <d v="2021-01-27T00:00:00"/>
    <s v="Drink"/>
    <x v="1"/>
    <x v="1"/>
    <x v="1"/>
    <x v="1"/>
    <x v="1"/>
    <x v="0"/>
    <x v="0"/>
    <x v="2"/>
    <n v="-5"/>
  </r>
  <r>
    <d v="2021-01-28T00:00:00"/>
    <s v="Drink"/>
    <x v="1"/>
    <x v="1"/>
    <x v="1"/>
    <x v="1"/>
    <x v="1"/>
    <x v="0"/>
    <x v="0"/>
    <x v="3"/>
    <n v="-5"/>
  </r>
  <r>
    <d v="2021-01-29T00:00:00"/>
    <s v="Drink"/>
    <x v="1"/>
    <x v="1"/>
    <x v="1"/>
    <x v="1"/>
    <x v="1"/>
    <x v="0"/>
    <x v="0"/>
    <x v="4"/>
    <n v="-5"/>
  </r>
  <r>
    <d v="2021-01-29T00:00:00"/>
    <s v="Green's"/>
    <x v="19"/>
    <x v="1"/>
    <x v="4"/>
    <x v="2"/>
    <x v="1"/>
    <x v="0"/>
    <x v="0"/>
    <x v="4"/>
    <n v="-162"/>
  </r>
  <r>
    <d v="2021-01-30T00:00:00"/>
    <s v="Trainers"/>
    <x v="20"/>
    <x v="1"/>
    <x v="7"/>
    <x v="4"/>
    <x v="1"/>
    <x v="0"/>
    <x v="0"/>
    <x v="5"/>
    <n v="-125"/>
  </r>
  <r>
    <d v="2021-01-30T00:00:00"/>
    <s v="Hangingout/Ticket"/>
    <x v="21"/>
    <x v="1"/>
    <x v="6"/>
    <x v="4"/>
    <x v="1"/>
    <x v="0"/>
    <x v="0"/>
    <x v="5"/>
    <n v="-175"/>
  </r>
  <r>
    <d v="2021-01-31T00:00:00"/>
    <s v="Fashionistas"/>
    <x v="22"/>
    <x v="1"/>
    <x v="7"/>
    <x v="4"/>
    <x v="1"/>
    <x v="0"/>
    <x v="0"/>
    <x v="6"/>
    <n v="-145"/>
  </r>
  <r>
    <d v="2021-01-31T00:00:00"/>
    <s v="Uba"/>
    <x v="23"/>
    <x v="1"/>
    <x v="9"/>
    <x v="3"/>
    <x v="1"/>
    <x v="0"/>
    <x v="0"/>
    <x v="6"/>
    <n v="-23"/>
  </r>
  <r>
    <d v="2021-02-01T00:00:00"/>
    <s v="Data With Decision"/>
    <x v="0"/>
    <x v="0"/>
    <x v="0"/>
    <x v="0"/>
    <x v="0"/>
    <x v="1"/>
    <x v="1"/>
    <x v="0"/>
    <n v="5000"/>
  </r>
  <r>
    <d v="2021-02-01T00:00:00"/>
    <s v="Drink"/>
    <x v="1"/>
    <x v="1"/>
    <x v="1"/>
    <x v="1"/>
    <x v="1"/>
    <x v="1"/>
    <x v="1"/>
    <x v="0"/>
    <n v="-5"/>
  </r>
  <r>
    <d v="2021-02-02T00:00:00"/>
    <s v="Estate Mangement"/>
    <x v="2"/>
    <x v="1"/>
    <x v="2"/>
    <x v="2"/>
    <x v="1"/>
    <x v="1"/>
    <x v="1"/>
    <x v="1"/>
    <n v="-900"/>
  </r>
  <r>
    <d v="2021-02-02T00:00:00"/>
    <s v="Financail upgrade"/>
    <x v="3"/>
    <x v="1"/>
    <x v="3"/>
    <x v="3"/>
    <x v="1"/>
    <x v="1"/>
    <x v="1"/>
    <x v="1"/>
    <n v="-150"/>
  </r>
  <r>
    <d v="2021-02-02T00:00:00"/>
    <s v="Drink"/>
    <x v="1"/>
    <x v="1"/>
    <x v="1"/>
    <x v="1"/>
    <x v="1"/>
    <x v="1"/>
    <x v="1"/>
    <x v="1"/>
    <n v="-5"/>
  </r>
  <r>
    <d v="2021-02-03T00:00:00"/>
    <s v="Drink"/>
    <x v="1"/>
    <x v="1"/>
    <x v="1"/>
    <x v="1"/>
    <x v="1"/>
    <x v="1"/>
    <x v="1"/>
    <x v="2"/>
    <n v="-5"/>
  </r>
  <r>
    <d v="2021-02-04T00:00:00"/>
    <s v="Drink"/>
    <x v="1"/>
    <x v="1"/>
    <x v="1"/>
    <x v="1"/>
    <x v="1"/>
    <x v="1"/>
    <x v="1"/>
    <x v="3"/>
    <n v="-5"/>
  </r>
  <r>
    <d v="2021-02-05T00:00:00"/>
    <s v="Drink"/>
    <x v="1"/>
    <x v="1"/>
    <x v="1"/>
    <x v="1"/>
    <x v="1"/>
    <x v="1"/>
    <x v="1"/>
    <x v="4"/>
    <n v="-5"/>
  </r>
  <r>
    <d v="2021-02-05T00:00:00"/>
    <s v="Green's"/>
    <x v="24"/>
    <x v="1"/>
    <x v="4"/>
    <x v="2"/>
    <x v="1"/>
    <x v="1"/>
    <x v="1"/>
    <x v="4"/>
    <n v="-205"/>
  </r>
  <r>
    <d v="2021-02-08T00:00:00"/>
    <s v="Power source"/>
    <x v="25"/>
    <x v="1"/>
    <x v="5"/>
    <x v="2"/>
    <x v="1"/>
    <x v="1"/>
    <x v="1"/>
    <x v="0"/>
    <n v="-51.1"/>
  </r>
  <r>
    <d v="2021-02-08T00:00:00"/>
    <s v="Drink"/>
    <x v="1"/>
    <x v="1"/>
    <x v="1"/>
    <x v="1"/>
    <x v="1"/>
    <x v="1"/>
    <x v="1"/>
    <x v="0"/>
    <n v="-5"/>
  </r>
  <r>
    <d v="2021-02-09T00:00:00"/>
    <s v="Drink"/>
    <x v="1"/>
    <x v="1"/>
    <x v="1"/>
    <x v="1"/>
    <x v="1"/>
    <x v="1"/>
    <x v="1"/>
    <x v="1"/>
    <n v="-5"/>
  </r>
  <r>
    <d v="2021-02-10T00:00:00"/>
    <s v="Fuel"/>
    <x v="26"/>
    <x v="1"/>
    <x v="15"/>
    <x v="3"/>
    <x v="1"/>
    <x v="1"/>
    <x v="1"/>
    <x v="2"/>
    <n v="-78"/>
  </r>
  <r>
    <d v="2021-02-10T00:00:00"/>
    <s v="Drink"/>
    <x v="1"/>
    <x v="1"/>
    <x v="1"/>
    <x v="1"/>
    <x v="1"/>
    <x v="1"/>
    <x v="1"/>
    <x v="2"/>
    <n v="-5"/>
  </r>
  <r>
    <d v="2021-02-11T00:00:00"/>
    <s v="Drink"/>
    <x v="1"/>
    <x v="1"/>
    <x v="1"/>
    <x v="1"/>
    <x v="1"/>
    <x v="1"/>
    <x v="1"/>
    <x v="3"/>
    <n v="-5"/>
  </r>
  <r>
    <d v="2021-02-12T00:00:00"/>
    <s v="Green's"/>
    <x v="27"/>
    <x v="1"/>
    <x v="4"/>
    <x v="2"/>
    <x v="1"/>
    <x v="1"/>
    <x v="1"/>
    <x v="4"/>
    <n v="-135.9"/>
  </r>
  <r>
    <d v="2021-02-12T00:00:00"/>
    <s v="Drink"/>
    <x v="1"/>
    <x v="1"/>
    <x v="1"/>
    <x v="1"/>
    <x v="1"/>
    <x v="1"/>
    <x v="1"/>
    <x v="4"/>
    <n v="-5"/>
  </r>
  <r>
    <d v="2021-02-13T00:00:00"/>
    <s v="Drink"/>
    <x v="1"/>
    <x v="1"/>
    <x v="1"/>
    <x v="1"/>
    <x v="1"/>
    <x v="1"/>
    <x v="1"/>
    <x v="5"/>
    <n v="-5"/>
  </r>
  <r>
    <d v="2021-02-13T00:00:00"/>
    <s v="Cinemas"/>
    <x v="28"/>
    <x v="1"/>
    <x v="6"/>
    <x v="4"/>
    <x v="1"/>
    <x v="1"/>
    <x v="1"/>
    <x v="5"/>
    <n v="-40.9"/>
  </r>
  <r>
    <d v="2021-02-13T00:00:00"/>
    <s v="Fashionistas"/>
    <x v="29"/>
    <x v="1"/>
    <x v="7"/>
    <x v="4"/>
    <x v="1"/>
    <x v="1"/>
    <x v="1"/>
    <x v="5"/>
    <n v="-99"/>
  </r>
  <r>
    <d v="2021-02-13T00:00:00"/>
    <s v="Burger"/>
    <x v="30"/>
    <x v="1"/>
    <x v="8"/>
    <x v="1"/>
    <x v="1"/>
    <x v="1"/>
    <x v="1"/>
    <x v="5"/>
    <n v="-53"/>
  </r>
  <r>
    <d v="2021-02-14T00:00:00"/>
    <s v="Uba"/>
    <x v="31"/>
    <x v="1"/>
    <x v="9"/>
    <x v="3"/>
    <x v="1"/>
    <x v="1"/>
    <x v="1"/>
    <x v="6"/>
    <n v="-28.9"/>
  </r>
  <r>
    <d v="2021-02-15T00:00:00"/>
    <s v="Onlne earning"/>
    <x v="0"/>
    <x v="3"/>
    <x v="10"/>
    <x v="5"/>
    <x v="0"/>
    <x v="1"/>
    <x v="1"/>
    <x v="0"/>
    <n v="800"/>
  </r>
  <r>
    <d v="2021-02-15T00:00:00"/>
    <s v="Drink"/>
    <x v="1"/>
    <x v="1"/>
    <x v="1"/>
    <x v="1"/>
    <x v="1"/>
    <x v="1"/>
    <x v="1"/>
    <x v="0"/>
    <n v="-5"/>
  </r>
  <r>
    <d v="2021-02-16T00:00:00"/>
    <s v="Drink"/>
    <x v="1"/>
    <x v="1"/>
    <x v="1"/>
    <x v="1"/>
    <x v="1"/>
    <x v="1"/>
    <x v="1"/>
    <x v="1"/>
    <n v="-5"/>
  </r>
  <r>
    <d v="2021-02-16T00:00:00"/>
    <s v="Phone"/>
    <x v="8"/>
    <x v="1"/>
    <x v="12"/>
    <x v="2"/>
    <x v="1"/>
    <x v="1"/>
    <x v="1"/>
    <x v="1"/>
    <n v="-40"/>
  </r>
  <r>
    <d v="2021-02-17T00:00:00"/>
    <s v="Sallah give away"/>
    <x v="32"/>
    <x v="1"/>
    <x v="13"/>
    <x v="4"/>
    <x v="1"/>
    <x v="1"/>
    <x v="1"/>
    <x v="2"/>
    <n v="-45.9"/>
  </r>
  <r>
    <d v="2021-02-17T00:00:00"/>
    <s v="Online streaming"/>
    <x v="33"/>
    <x v="1"/>
    <x v="6"/>
    <x v="4"/>
    <x v="1"/>
    <x v="1"/>
    <x v="1"/>
    <x v="2"/>
    <n v="-35"/>
  </r>
  <r>
    <d v="2021-02-17T00:00:00"/>
    <s v="Drink"/>
    <x v="1"/>
    <x v="1"/>
    <x v="1"/>
    <x v="1"/>
    <x v="1"/>
    <x v="1"/>
    <x v="1"/>
    <x v="2"/>
    <n v="-5"/>
  </r>
  <r>
    <d v="2021-02-18T00:00:00"/>
    <s v="Drink"/>
    <x v="1"/>
    <x v="1"/>
    <x v="1"/>
    <x v="1"/>
    <x v="1"/>
    <x v="1"/>
    <x v="1"/>
    <x v="3"/>
    <n v="-5"/>
  </r>
  <r>
    <d v="2021-02-19T00:00:00"/>
    <s v="Drink"/>
    <x v="1"/>
    <x v="1"/>
    <x v="1"/>
    <x v="1"/>
    <x v="1"/>
    <x v="1"/>
    <x v="1"/>
    <x v="4"/>
    <n v="-5"/>
  </r>
  <r>
    <d v="2021-02-19T00:00:00"/>
    <s v="Green's"/>
    <x v="34"/>
    <x v="1"/>
    <x v="4"/>
    <x v="2"/>
    <x v="1"/>
    <x v="1"/>
    <x v="1"/>
    <x v="4"/>
    <n v="-171"/>
  </r>
  <r>
    <d v="2021-02-20T00:00:00"/>
    <s v="Suya"/>
    <x v="35"/>
    <x v="1"/>
    <x v="8"/>
    <x v="1"/>
    <x v="1"/>
    <x v="1"/>
    <x v="1"/>
    <x v="5"/>
    <n v="-37.9"/>
  </r>
  <r>
    <d v="2021-02-21T00:00:00"/>
    <s v="Oha soup/White soup"/>
    <x v="36"/>
    <x v="1"/>
    <x v="8"/>
    <x v="1"/>
    <x v="1"/>
    <x v="1"/>
    <x v="1"/>
    <x v="6"/>
    <n v="-12.9"/>
  </r>
  <r>
    <d v="2021-02-22T00:00:00"/>
    <s v="Orphanage"/>
    <x v="17"/>
    <x v="1"/>
    <x v="14"/>
    <x v="6"/>
    <x v="1"/>
    <x v="1"/>
    <x v="1"/>
    <x v="0"/>
    <n v="-55"/>
  </r>
  <r>
    <d v="2021-02-22T00:00:00"/>
    <s v="Fuel"/>
    <x v="37"/>
    <x v="1"/>
    <x v="15"/>
    <x v="3"/>
    <x v="1"/>
    <x v="1"/>
    <x v="1"/>
    <x v="0"/>
    <n v="-64.099999999999994"/>
  </r>
  <r>
    <d v="2021-02-22T00:00:00"/>
    <s v="Drink"/>
    <x v="1"/>
    <x v="1"/>
    <x v="1"/>
    <x v="1"/>
    <x v="1"/>
    <x v="1"/>
    <x v="1"/>
    <x v="0"/>
    <n v="-5"/>
  </r>
  <r>
    <d v="2021-02-23T00:00:00"/>
    <s v="Drink"/>
    <x v="1"/>
    <x v="1"/>
    <x v="1"/>
    <x v="1"/>
    <x v="1"/>
    <x v="1"/>
    <x v="1"/>
    <x v="1"/>
    <n v="-5"/>
  </r>
  <r>
    <d v="2021-02-24T00:00:00"/>
    <s v="Drink"/>
    <x v="1"/>
    <x v="1"/>
    <x v="1"/>
    <x v="1"/>
    <x v="1"/>
    <x v="1"/>
    <x v="1"/>
    <x v="2"/>
    <n v="-5"/>
  </r>
  <r>
    <d v="2021-02-25T00:00:00"/>
    <s v="Drink"/>
    <x v="1"/>
    <x v="1"/>
    <x v="1"/>
    <x v="1"/>
    <x v="1"/>
    <x v="1"/>
    <x v="1"/>
    <x v="3"/>
    <n v="-5"/>
  </r>
  <r>
    <d v="2021-02-26T00:00:00"/>
    <s v="Drink"/>
    <x v="1"/>
    <x v="1"/>
    <x v="1"/>
    <x v="1"/>
    <x v="1"/>
    <x v="1"/>
    <x v="1"/>
    <x v="4"/>
    <n v="-5"/>
  </r>
  <r>
    <d v="2021-02-26T00:00:00"/>
    <s v="Green's"/>
    <x v="38"/>
    <x v="1"/>
    <x v="4"/>
    <x v="2"/>
    <x v="1"/>
    <x v="1"/>
    <x v="1"/>
    <x v="4"/>
    <n v="-162.9"/>
  </r>
  <r>
    <d v="2021-02-27T00:00:00"/>
    <s v="Trainers"/>
    <x v="39"/>
    <x v="1"/>
    <x v="7"/>
    <x v="4"/>
    <x v="1"/>
    <x v="1"/>
    <x v="1"/>
    <x v="5"/>
    <n v="-125.9"/>
  </r>
  <r>
    <d v="2021-02-27T00:00:00"/>
    <s v="Global Fashion"/>
    <x v="40"/>
    <x v="1"/>
    <x v="7"/>
    <x v="4"/>
    <x v="1"/>
    <x v="1"/>
    <x v="1"/>
    <x v="5"/>
    <n v="-137"/>
  </r>
  <r>
    <d v="2021-02-28T00:00:00"/>
    <s v="Fashionistas"/>
    <x v="41"/>
    <x v="1"/>
    <x v="7"/>
    <x v="4"/>
    <x v="1"/>
    <x v="1"/>
    <x v="1"/>
    <x v="6"/>
    <n v="-146.1"/>
  </r>
  <r>
    <d v="2021-02-28T00:00:00"/>
    <s v="Uba"/>
    <x v="42"/>
    <x v="1"/>
    <x v="9"/>
    <x v="3"/>
    <x v="1"/>
    <x v="1"/>
    <x v="1"/>
    <x v="6"/>
    <n v="-24.1"/>
  </r>
  <r>
    <d v="2021-03-01T00:00:00"/>
    <s v="Data With Decision"/>
    <x v="0"/>
    <x v="0"/>
    <x v="0"/>
    <x v="0"/>
    <x v="0"/>
    <x v="2"/>
    <x v="2"/>
    <x v="0"/>
    <n v="5000"/>
  </r>
  <r>
    <d v="2021-03-01T00:00:00"/>
    <s v="Drink"/>
    <x v="1"/>
    <x v="1"/>
    <x v="1"/>
    <x v="1"/>
    <x v="1"/>
    <x v="2"/>
    <x v="2"/>
    <x v="0"/>
    <n v="-5"/>
  </r>
  <r>
    <d v="2021-03-02T00:00:00"/>
    <s v="Estate Mangement"/>
    <x v="2"/>
    <x v="1"/>
    <x v="2"/>
    <x v="2"/>
    <x v="1"/>
    <x v="2"/>
    <x v="2"/>
    <x v="1"/>
    <n v="-900"/>
  </r>
  <r>
    <d v="2021-03-02T00:00:00"/>
    <s v="Financail upgrade"/>
    <x v="3"/>
    <x v="1"/>
    <x v="3"/>
    <x v="3"/>
    <x v="1"/>
    <x v="2"/>
    <x v="2"/>
    <x v="1"/>
    <n v="-150"/>
  </r>
  <r>
    <d v="2021-03-02T00:00:00"/>
    <s v="Drink"/>
    <x v="1"/>
    <x v="1"/>
    <x v="1"/>
    <x v="1"/>
    <x v="1"/>
    <x v="2"/>
    <x v="2"/>
    <x v="1"/>
    <n v="-5"/>
  </r>
  <r>
    <d v="2021-03-03T00:00:00"/>
    <s v="Drink"/>
    <x v="1"/>
    <x v="1"/>
    <x v="1"/>
    <x v="1"/>
    <x v="1"/>
    <x v="2"/>
    <x v="2"/>
    <x v="2"/>
    <n v="-5"/>
  </r>
  <r>
    <d v="2021-03-04T00:00:00"/>
    <s v="Drink"/>
    <x v="1"/>
    <x v="1"/>
    <x v="1"/>
    <x v="1"/>
    <x v="1"/>
    <x v="2"/>
    <x v="2"/>
    <x v="3"/>
    <n v="-5"/>
  </r>
  <r>
    <d v="2021-03-05T00:00:00"/>
    <s v="Drink"/>
    <x v="1"/>
    <x v="1"/>
    <x v="1"/>
    <x v="1"/>
    <x v="1"/>
    <x v="2"/>
    <x v="2"/>
    <x v="4"/>
    <n v="-5"/>
  </r>
  <r>
    <d v="2021-03-05T00:00:00"/>
    <s v="Green's"/>
    <x v="43"/>
    <x v="1"/>
    <x v="4"/>
    <x v="2"/>
    <x v="1"/>
    <x v="2"/>
    <x v="2"/>
    <x v="4"/>
    <n v="-149"/>
  </r>
  <r>
    <d v="2021-03-08T00:00:00"/>
    <s v="Power source"/>
    <x v="44"/>
    <x v="1"/>
    <x v="5"/>
    <x v="2"/>
    <x v="1"/>
    <x v="2"/>
    <x v="2"/>
    <x v="0"/>
    <n v="-52.1"/>
  </r>
  <r>
    <d v="2021-03-08T00:00:00"/>
    <s v="Drink"/>
    <x v="1"/>
    <x v="1"/>
    <x v="1"/>
    <x v="1"/>
    <x v="1"/>
    <x v="2"/>
    <x v="2"/>
    <x v="0"/>
    <n v="-5"/>
  </r>
  <r>
    <d v="2021-03-09T00:00:00"/>
    <s v="Drink"/>
    <x v="1"/>
    <x v="1"/>
    <x v="1"/>
    <x v="1"/>
    <x v="1"/>
    <x v="2"/>
    <x v="2"/>
    <x v="1"/>
    <n v="-5"/>
  </r>
  <r>
    <d v="2021-03-10T00:00:00"/>
    <s v="Fuel"/>
    <x v="45"/>
    <x v="1"/>
    <x v="15"/>
    <x v="3"/>
    <x v="1"/>
    <x v="2"/>
    <x v="2"/>
    <x v="2"/>
    <n v="-78.900000000000006"/>
  </r>
  <r>
    <d v="2021-03-10T00:00:00"/>
    <s v="Drink"/>
    <x v="1"/>
    <x v="1"/>
    <x v="1"/>
    <x v="1"/>
    <x v="1"/>
    <x v="2"/>
    <x v="2"/>
    <x v="2"/>
    <n v="-5"/>
  </r>
  <r>
    <d v="2021-03-11T00:00:00"/>
    <s v="Drink"/>
    <x v="1"/>
    <x v="1"/>
    <x v="1"/>
    <x v="1"/>
    <x v="1"/>
    <x v="2"/>
    <x v="2"/>
    <x v="3"/>
    <n v="-5"/>
  </r>
  <r>
    <d v="2021-03-12T00:00:00"/>
    <s v="Green's"/>
    <x v="40"/>
    <x v="1"/>
    <x v="4"/>
    <x v="2"/>
    <x v="1"/>
    <x v="2"/>
    <x v="2"/>
    <x v="4"/>
    <n v="-137"/>
  </r>
  <r>
    <d v="2021-03-12T00:00:00"/>
    <s v="Drink"/>
    <x v="1"/>
    <x v="1"/>
    <x v="1"/>
    <x v="1"/>
    <x v="1"/>
    <x v="2"/>
    <x v="2"/>
    <x v="4"/>
    <n v="-5"/>
  </r>
  <r>
    <d v="2021-03-13T00:00:00"/>
    <s v="Drink"/>
    <x v="1"/>
    <x v="1"/>
    <x v="1"/>
    <x v="1"/>
    <x v="1"/>
    <x v="2"/>
    <x v="2"/>
    <x v="5"/>
    <n v="-5"/>
  </r>
  <r>
    <d v="2021-03-13T00:00:00"/>
    <s v="Cinemas"/>
    <x v="46"/>
    <x v="1"/>
    <x v="6"/>
    <x v="4"/>
    <x v="1"/>
    <x v="2"/>
    <x v="2"/>
    <x v="5"/>
    <n v="-41.8"/>
  </r>
  <r>
    <d v="2021-03-13T00:00:00"/>
    <s v="Fashionistas"/>
    <x v="47"/>
    <x v="1"/>
    <x v="7"/>
    <x v="4"/>
    <x v="1"/>
    <x v="2"/>
    <x v="2"/>
    <x v="5"/>
    <n v="-99.9"/>
  </r>
  <r>
    <d v="2021-03-13T00:00:00"/>
    <s v="Burger"/>
    <x v="48"/>
    <x v="1"/>
    <x v="8"/>
    <x v="1"/>
    <x v="1"/>
    <x v="2"/>
    <x v="2"/>
    <x v="5"/>
    <n v="-54"/>
  </r>
  <r>
    <d v="2021-03-14T00:00:00"/>
    <s v="Uba"/>
    <x v="49"/>
    <x v="1"/>
    <x v="9"/>
    <x v="3"/>
    <x v="1"/>
    <x v="2"/>
    <x v="2"/>
    <x v="6"/>
    <n v="-30"/>
  </r>
  <r>
    <d v="2021-03-15T00:00:00"/>
    <s v="Onlne earning"/>
    <x v="0"/>
    <x v="4"/>
    <x v="10"/>
    <x v="5"/>
    <x v="0"/>
    <x v="2"/>
    <x v="2"/>
    <x v="0"/>
    <n v="1000"/>
  </r>
  <r>
    <d v="2021-03-15T00:00:00"/>
    <s v="Drink"/>
    <x v="1"/>
    <x v="1"/>
    <x v="1"/>
    <x v="1"/>
    <x v="1"/>
    <x v="2"/>
    <x v="2"/>
    <x v="0"/>
    <n v="-5"/>
  </r>
  <r>
    <d v="2021-03-16T00:00:00"/>
    <s v="Drink"/>
    <x v="1"/>
    <x v="1"/>
    <x v="1"/>
    <x v="1"/>
    <x v="1"/>
    <x v="2"/>
    <x v="2"/>
    <x v="1"/>
    <n v="-5"/>
  </r>
  <r>
    <d v="2021-03-16T00:00:00"/>
    <s v="Taken medication"/>
    <x v="50"/>
    <x v="1"/>
    <x v="16"/>
    <x v="7"/>
    <x v="1"/>
    <x v="2"/>
    <x v="2"/>
    <x v="1"/>
    <n v="-75"/>
  </r>
  <r>
    <d v="2021-03-16T00:00:00"/>
    <s v="Phone"/>
    <x v="8"/>
    <x v="1"/>
    <x v="12"/>
    <x v="2"/>
    <x v="1"/>
    <x v="2"/>
    <x v="2"/>
    <x v="1"/>
    <n v="-40"/>
  </r>
  <r>
    <d v="2021-03-17T00:00:00"/>
    <s v="Sallah give away"/>
    <x v="51"/>
    <x v="1"/>
    <x v="13"/>
    <x v="4"/>
    <x v="1"/>
    <x v="2"/>
    <x v="2"/>
    <x v="2"/>
    <n v="-46.8"/>
  </r>
  <r>
    <d v="2021-03-17T00:00:00"/>
    <s v="Online streaming"/>
    <x v="33"/>
    <x v="1"/>
    <x v="6"/>
    <x v="4"/>
    <x v="1"/>
    <x v="2"/>
    <x v="2"/>
    <x v="2"/>
    <n v="-35"/>
  </r>
  <r>
    <d v="2021-03-17T00:00:00"/>
    <s v="Drink"/>
    <x v="1"/>
    <x v="1"/>
    <x v="1"/>
    <x v="1"/>
    <x v="1"/>
    <x v="2"/>
    <x v="2"/>
    <x v="2"/>
    <n v="-5"/>
  </r>
  <r>
    <d v="2021-03-18T00:00:00"/>
    <s v="Drink"/>
    <x v="1"/>
    <x v="1"/>
    <x v="1"/>
    <x v="1"/>
    <x v="1"/>
    <x v="2"/>
    <x v="2"/>
    <x v="3"/>
    <n v="-5"/>
  </r>
  <r>
    <d v="2021-03-19T00:00:00"/>
    <s v="Drink"/>
    <x v="1"/>
    <x v="1"/>
    <x v="1"/>
    <x v="1"/>
    <x v="1"/>
    <x v="2"/>
    <x v="2"/>
    <x v="4"/>
    <n v="-5"/>
  </r>
  <r>
    <d v="2021-03-19T00:00:00"/>
    <s v="Green's"/>
    <x v="52"/>
    <x v="1"/>
    <x v="4"/>
    <x v="2"/>
    <x v="1"/>
    <x v="2"/>
    <x v="2"/>
    <x v="4"/>
    <n v="-171.9"/>
  </r>
  <r>
    <d v="2021-03-20T00:00:00"/>
    <s v="Suya"/>
    <x v="53"/>
    <x v="1"/>
    <x v="8"/>
    <x v="1"/>
    <x v="1"/>
    <x v="2"/>
    <x v="2"/>
    <x v="5"/>
    <n v="-39"/>
  </r>
  <r>
    <d v="2021-03-21T00:00:00"/>
    <s v="Oha soup/White soup"/>
    <x v="54"/>
    <x v="1"/>
    <x v="8"/>
    <x v="1"/>
    <x v="1"/>
    <x v="2"/>
    <x v="2"/>
    <x v="6"/>
    <n v="-14"/>
  </r>
  <r>
    <d v="2021-03-22T00:00:00"/>
    <s v="Orphanage"/>
    <x v="17"/>
    <x v="1"/>
    <x v="14"/>
    <x v="6"/>
    <x v="1"/>
    <x v="2"/>
    <x v="2"/>
    <x v="0"/>
    <n v="-55"/>
  </r>
  <r>
    <d v="2021-03-22T00:00:00"/>
    <s v="Fuel"/>
    <x v="55"/>
    <x v="1"/>
    <x v="15"/>
    <x v="3"/>
    <x v="1"/>
    <x v="2"/>
    <x v="2"/>
    <x v="0"/>
    <n v="-65"/>
  </r>
  <r>
    <d v="2021-03-22T00:00:00"/>
    <s v="Drink"/>
    <x v="1"/>
    <x v="1"/>
    <x v="1"/>
    <x v="1"/>
    <x v="1"/>
    <x v="2"/>
    <x v="2"/>
    <x v="0"/>
    <n v="-5"/>
  </r>
  <r>
    <d v="2021-03-23T00:00:00"/>
    <s v="Drink"/>
    <x v="1"/>
    <x v="1"/>
    <x v="1"/>
    <x v="1"/>
    <x v="1"/>
    <x v="2"/>
    <x v="2"/>
    <x v="1"/>
    <n v="-5"/>
  </r>
  <r>
    <d v="2021-03-24T00:00:00"/>
    <s v="Drink"/>
    <x v="1"/>
    <x v="1"/>
    <x v="1"/>
    <x v="1"/>
    <x v="1"/>
    <x v="2"/>
    <x v="2"/>
    <x v="2"/>
    <n v="-5"/>
  </r>
  <r>
    <d v="2021-03-25T00:00:00"/>
    <s v="Drink"/>
    <x v="1"/>
    <x v="1"/>
    <x v="1"/>
    <x v="1"/>
    <x v="1"/>
    <x v="2"/>
    <x v="2"/>
    <x v="3"/>
    <n v="-5"/>
  </r>
  <r>
    <d v="2021-03-26T00:00:00"/>
    <s v="Drink"/>
    <x v="1"/>
    <x v="1"/>
    <x v="1"/>
    <x v="1"/>
    <x v="1"/>
    <x v="2"/>
    <x v="2"/>
    <x v="4"/>
    <n v="-5"/>
  </r>
  <r>
    <d v="2021-03-26T00:00:00"/>
    <s v="Green's"/>
    <x v="56"/>
    <x v="1"/>
    <x v="4"/>
    <x v="2"/>
    <x v="1"/>
    <x v="2"/>
    <x v="2"/>
    <x v="4"/>
    <n v="-209"/>
  </r>
  <r>
    <d v="2021-03-27T00:00:00"/>
    <s v="Trainers"/>
    <x v="57"/>
    <x v="1"/>
    <x v="7"/>
    <x v="4"/>
    <x v="1"/>
    <x v="2"/>
    <x v="2"/>
    <x v="5"/>
    <n v="-127"/>
  </r>
  <r>
    <d v="2021-03-27T00:00:00"/>
    <s v="Sport ware"/>
    <x v="58"/>
    <x v="1"/>
    <x v="7"/>
    <x v="4"/>
    <x v="1"/>
    <x v="2"/>
    <x v="2"/>
    <x v="5"/>
    <n v="-177.2"/>
  </r>
  <r>
    <d v="2021-03-28T00:00:00"/>
    <s v="Fashionistas"/>
    <x v="59"/>
    <x v="1"/>
    <x v="7"/>
    <x v="4"/>
    <x v="1"/>
    <x v="2"/>
    <x v="2"/>
    <x v="6"/>
    <n v="-147.1"/>
  </r>
  <r>
    <d v="2021-03-28T00:00:00"/>
    <s v="Uba"/>
    <x v="60"/>
    <x v="1"/>
    <x v="9"/>
    <x v="3"/>
    <x v="1"/>
    <x v="2"/>
    <x v="2"/>
    <x v="6"/>
    <n v="-25"/>
  </r>
  <r>
    <d v="2021-03-29T00:00:00"/>
    <s v="Foodary"/>
    <x v="61"/>
    <x v="1"/>
    <x v="8"/>
    <x v="1"/>
    <x v="1"/>
    <x v="2"/>
    <x v="2"/>
    <x v="0"/>
    <n v="-15"/>
  </r>
  <r>
    <d v="2021-03-30T00:00:00"/>
    <s v="Drink"/>
    <x v="1"/>
    <x v="1"/>
    <x v="1"/>
    <x v="1"/>
    <x v="1"/>
    <x v="2"/>
    <x v="2"/>
    <x v="1"/>
    <n v="-5"/>
  </r>
  <r>
    <d v="2021-03-31T00:00:00"/>
    <s v="Drink"/>
    <x v="1"/>
    <x v="1"/>
    <x v="1"/>
    <x v="1"/>
    <x v="1"/>
    <x v="2"/>
    <x v="2"/>
    <x v="2"/>
    <n v="-5"/>
  </r>
  <r>
    <d v="2021-04-01T00:00:00"/>
    <s v="Data With Decision"/>
    <x v="0"/>
    <x v="0"/>
    <x v="0"/>
    <x v="0"/>
    <x v="0"/>
    <x v="3"/>
    <x v="3"/>
    <x v="3"/>
    <n v="5000"/>
  </r>
  <r>
    <d v="2021-04-01T00:00:00"/>
    <s v="Drink"/>
    <x v="1"/>
    <x v="1"/>
    <x v="1"/>
    <x v="1"/>
    <x v="1"/>
    <x v="3"/>
    <x v="3"/>
    <x v="3"/>
    <n v="-5"/>
  </r>
  <r>
    <d v="2021-04-02T00:00:00"/>
    <s v="Estate Mangement"/>
    <x v="2"/>
    <x v="1"/>
    <x v="2"/>
    <x v="2"/>
    <x v="1"/>
    <x v="3"/>
    <x v="3"/>
    <x v="4"/>
    <n v="-900"/>
  </r>
  <r>
    <d v="2021-04-02T00:00:00"/>
    <s v="Financail upgrade"/>
    <x v="3"/>
    <x v="1"/>
    <x v="3"/>
    <x v="3"/>
    <x v="1"/>
    <x v="3"/>
    <x v="3"/>
    <x v="4"/>
    <n v="-150"/>
  </r>
  <r>
    <d v="2021-04-02T00:00:00"/>
    <s v="Drink"/>
    <x v="1"/>
    <x v="1"/>
    <x v="1"/>
    <x v="1"/>
    <x v="1"/>
    <x v="3"/>
    <x v="3"/>
    <x v="4"/>
    <n v="-5"/>
  </r>
  <r>
    <d v="2021-04-03T00:00:00"/>
    <s v="Drink"/>
    <x v="1"/>
    <x v="1"/>
    <x v="1"/>
    <x v="1"/>
    <x v="1"/>
    <x v="3"/>
    <x v="3"/>
    <x v="5"/>
    <n v="-5"/>
  </r>
  <r>
    <d v="2021-04-04T00:00:00"/>
    <s v="Drink"/>
    <x v="1"/>
    <x v="1"/>
    <x v="1"/>
    <x v="1"/>
    <x v="1"/>
    <x v="3"/>
    <x v="3"/>
    <x v="6"/>
    <n v="-5"/>
  </r>
  <r>
    <d v="2021-04-05T00:00:00"/>
    <s v="Drink"/>
    <x v="1"/>
    <x v="1"/>
    <x v="1"/>
    <x v="1"/>
    <x v="1"/>
    <x v="3"/>
    <x v="3"/>
    <x v="0"/>
    <n v="-5"/>
  </r>
  <r>
    <d v="2021-04-05T00:00:00"/>
    <s v="Green's"/>
    <x v="62"/>
    <x v="1"/>
    <x v="4"/>
    <x v="2"/>
    <x v="1"/>
    <x v="3"/>
    <x v="3"/>
    <x v="0"/>
    <n v="-158.19999999999999"/>
  </r>
  <r>
    <d v="2021-04-08T00:00:00"/>
    <s v="Power source"/>
    <x v="63"/>
    <x v="1"/>
    <x v="5"/>
    <x v="2"/>
    <x v="1"/>
    <x v="3"/>
    <x v="3"/>
    <x v="3"/>
    <n v="-53.2"/>
  </r>
  <r>
    <d v="2021-04-08T00:00:00"/>
    <s v="Drink"/>
    <x v="1"/>
    <x v="1"/>
    <x v="1"/>
    <x v="1"/>
    <x v="1"/>
    <x v="3"/>
    <x v="3"/>
    <x v="3"/>
    <n v="-5"/>
  </r>
  <r>
    <d v="2021-04-09T00:00:00"/>
    <s v="Drink"/>
    <x v="1"/>
    <x v="1"/>
    <x v="1"/>
    <x v="1"/>
    <x v="1"/>
    <x v="3"/>
    <x v="3"/>
    <x v="4"/>
    <n v="-5"/>
  </r>
  <r>
    <d v="2021-04-10T00:00:00"/>
    <s v="Fuel"/>
    <x v="64"/>
    <x v="1"/>
    <x v="15"/>
    <x v="3"/>
    <x v="1"/>
    <x v="3"/>
    <x v="3"/>
    <x v="5"/>
    <n v="-79.900000000000006"/>
  </r>
  <r>
    <d v="2021-04-10T00:00:00"/>
    <s v="Drink"/>
    <x v="1"/>
    <x v="1"/>
    <x v="1"/>
    <x v="1"/>
    <x v="1"/>
    <x v="3"/>
    <x v="3"/>
    <x v="5"/>
    <n v="-5"/>
  </r>
  <r>
    <d v="2021-04-11T00:00:00"/>
    <s v="Drink"/>
    <x v="1"/>
    <x v="1"/>
    <x v="1"/>
    <x v="1"/>
    <x v="1"/>
    <x v="3"/>
    <x v="3"/>
    <x v="6"/>
    <n v="-5"/>
  </r>
  <r>
    <d v="2021-04-12T00:00:00"/>
    <s v="Green's"/>
    <x v="9"/>
    <x v="1"/>
    <x v="4"/>
    <x v="2"/>
    <x v="1"/>
    <x v="3"/>
    <x v="3"/>
    <x v="0"/>
    <n v="-98"/>
  </r>
  <r>
    <d v="2021-04-12T00:00:00"/>
    <s v="Drink"/>
    <x v="1"/>
    <x v="1"/>
    <x v="1"/>
    <x v="1"/>
    <x v="1"/>
    <x v="3"/>
    <x v="3"/>
    <x v="0"/>
    <n v="-5"/>
  </r>
  <r>
    <d v="2021-04-13T00:00:00"/>
    <s v="Drink"/>
    <x v="1"/>
    <x v="1"/>
    <x v="1"/>
    <x v="1"/>
    <x v="1"/>
    <x v="3"/>
    <x v="3"/>
    <x v="1"/>
    <n v="-5"/>
  </r>
  <r>
    <d v="2021-04-13T00:00:00"/>
    <s v="Cinemas"/>
    <x v="65"/>
    <x v="1"/>
    <x v="6"/>
    <x v="4"/>
    <x v="1"/>
    <x v="3"/>
    <x v="3"/>
    <x v="1"/>
    <n v="-42.8"/>
  </r>
  <r>
    <d v="2021-04-13T00:00:00"/>
    <s v="Fashionistas"/>
    <x v="66"/>
    <x v="1"/>
    <x v="7"/>
    <x v="4"/>
    <x v="1"/>
    <x v="3"/>
    <x v="3"/>
    <x v="1"/>
    <n v="-100.9"/>
  </r>
  <r>
    <d v="2021-04-13T00:00:00"/>
    <s v="Burger"/>
    <x v="67"/>
    <x v="1"/>
    <x v="8"/>
    <x v="1"/>
    <x v="1"/>
    <x v="3"/>
    <x v="3"/>
    <x v="1"/>
    <n v="-54.9"/>
  </r>
  <r>
    <d v="2021-04-14T00:00:00"/>
    <s v="Uba"/>
    <x v="68"/>
    <x v="1"/>
    <x v="9"/>
    <x v="3"/>
    <x v="1"/>
    <x v="3"/>
    <x v="3"/>
    <x v="2"/>
    <n v="-31"/>
  </r>
  <r>
    <d v="2021-04-15T00:00:00"/>
    <s v="Onlne earning"/>
    <x v="0"/>
    <x v="5"/>
    <x v="10"/>
    <x v="5"/>
    <x v="0"/>
    <x v="3"/>
    <x v="3"/>
    <x v="3"/>
    <n v="2340"/>
  </r>
  <r>
    <d v="2021-04-15T00:00:00"/>
    <s v="Drink"/>
    <x v="1"/>
    <x v="1"/>
    <x v="1"/>
    <x v="1"/>
    <x v="1"/>
    <x v="3"/>
    <x v="3"/>
    <x v="3"/>
    <n v="-5"/>
  </r>
  <r>
    <d v="2021-04-16T00:00:00"/>
    <s v="Drink"/>
    <x v="1"/>
    <x v="1"/>
    <x v="1"/>
    <x v="1"/>
    <x v="1"/>
    <x v="3"/>
    <x v="3"/>
    <x v="4"/>
    <n v="-5"/>
  </r>
  <r>
    <d v="2021-04-16T00:00:00"/>
    <s v="Phone"/>
    <x v="8"/>
    <x v="1"/>
    <x v="12"/>
    <x v="2"/>
    <x v="1"/>
    <x v="3"/>
    <x v="3"/>
    <x v="4"/>
    <n v="-40"/>
  </r>
  <r>
    <d v="2021-04-17T00:00:00"/>
    <s v="Sallah give away"/>
    <x v="69"/>
    <x v="1"/>
    <x v="13"/>
    <x v="4"/>
    <x v="1"/>
    <x v="3"/>
    <x v="3"/>
    <x v="5"/>
    <n v="-47.9"/>
  </r>
  <r>
    <d v="2021-04-17T00:00:00"/>
    <s v="Online streaming"/>
    <x v="33"/>
    <x v="1"/>
    <x v="6"/>
    <x v="4"/>
    <x v="1"/>
    <x v="3"/>
    <x v="3"/>
    <x v="5"/>
    <n v="-35"/>
  </r>
  <r>
    <d v="2021-04-17T00:00:00"/>
    <s v="Drink"/>
    <x v="1"/>
    <x v="1"/>
    <x v="1"/>
    <x v="1"/>
    <x v="1"/>
    <x v="3"/>
    <x v="3"/>
    <x v="5"/>
    <n v="-5"/>
  </r>
  <r>
    <d v="2021-04-18T00:00:00"/>
    <s v="Drink"/>
    <x v="1"/>
    <x v="1"/>
    <x v="1"/>
    <x v="1"/>
    <x v="1"/>
    <x v="3"/>
    <x v="3"/>
    <x v="6"/>
    <n v="-5"/>
  </r>
  <r>
    <d v="2021-04-19T00:00:00"/>
    <s v="Drink"/>
    <x v="1"/>
    <x v="1"/>
    <x v="1"/>
    <x v="1"/>
    <x v="1"/>
    <x v="3"/>
    <x v="3"/>
    <x v="0"/>
    <n v="-5"/>
  </r>
  <r>
    <d v="2021-04-19T00:00:00"/>
    <s v="Green's"/>
    <x v="70"/>
    <x v="1"/>
    <x v="4"/>
    <x v="2"/>
    <x v="1"/>
    <x v="3"/>
    <x v="3"/>
    <x v="0"/>
    <n v="-173"/>
  </r>
  <r>
    <d v="2021-04-20T00:00:00"/>
    <s v="Suya"/>
    <x v="71"/>
    <x v="1"/>
    <x v="8"/>
    <x v="1"/>
    <x v="1"/>
    <x v="3"/>
    <x v="3"/>
    <x v="1"/>
    <n v="-40.1"/>
  </r>
  <r>
    <d v="2021-04-21T00:00:00"/>
    <s v="Oha soup/White soup"/>
    <x v="72"/>
    <x v="1"/>
    <x v="8"/>
    <x v="1"/>
    <x v="1"/>
    <x v="3"/>
    <x v="3"/>
    <x v="2"/>
    <n v="-15.1"/>
  </r>
  <r>
    <d v="2021-04-22T00:00:00"/>
    <s v="Orphanage"/>
    <x v="17"/>
    <x v="1"/>
    <x v="14"/>
    <x v="6"/>
    <x v="1"/>
    <x v="3"/>
    <x v="3"/>
    <x v="3"/>
    <n v="-55"/>
  </r>
  <r>
    <d v="2021-04-22T00:00:00"/>
    <s v="Fuel"/>
    <x v="73"/>
    <x v="1"/>
    <x v="15"/>
    <x v="3"/>
    <x v="1"/>
    <x v="3"/>
    <x v="3"/>
    <x v="3"/>
    <n v="-66"/>
  </r>
  <r>
    <d v="2021-04-22T00:00:00"/>
    <s v="Drink"/>
    <x v="1"/>
    <x v="1"/>
    <x v="1"/>
    <x v="1"/>
    <x v="1"/>
    <x v="3"/>
    <x v="3"/>
    <x v="3"/>
    <n v="-5"/>
  </r>
  <r>
    <d v="2021-04-23T00:00:00"/>
    <s v="Drink"/>
    <x v="1"/>
    <x v="1"/>
    <x v="1"/>
    <x v="1"/>
    <x v="1"/>
    <x v="3"/>
    <x v="3"/>
    <x v="4"/>
    <n v="-5"/>
  </r>
  <r>
    <d v="2021-04-24T00:00:00"/>
    <s v="Drink"/>
    <x v="1"/>
    <x v="1"/>
    <x v="1"/>
    <x v="1"/>
    <x v="1"/>
    <x v="3"/>
    <x v="3"/>
    <x v="5"/>
    <n v="-5"/>
  </r>
  <r>
    <d v="2021-04-25T00:00:00"/>
    <s v="Drink"/>
    <x v="1"/>
    <x v="1"/>
    <x v="1"/>
    <x v="1"/>
    <x v="1"/>
    <x v="3"/>
    <x v="3"/>
    <x v="6"/>
    <n v="-5"/>
  </r>
  <r>
    <d v="2021-04-26T00:00:00"/>
    <s v="Drink"/>
    <x v="1"/>
    <x v="1"/>
    <x v="1"/>
    <x v="1"/>
    <x v="1"/>
    <x v="3"/>
    <x v="3"/>
    <x v="0"/>
    <n v="-5"/>
  </r>
  <r>
    <d v="2021-04-26T00:00:00"/>
    <s v="Green's"/>
    <x v="74"/>
    <x v="1"/>
    <x v="4"/>
    <x v="2"/>
    <x v="1"/>
    <x v="3"/>
    <x v="3"/>
    <x v="0"/>
    <n v="-164.9"/>
  </r>
  <r>
    <d v="2021-04-27T00:00:00"/>
    <s v="Trainers"/>
    <x v="75"/>
    <x v="1"/>
    <x v="7"/>
    <x v="4"/>
    <x v="1"/>
    <x v="3"/>
    <x v="3"/>
    <x v="1"/>
    <n v="-127.9"/>
  </r>
  <r>
    <d v="2021-04-27T00:00:00"/>
    <s v="Clubing"/>
    <x v="76"/>
    <x v="1"/>
    <x v="6"/>
    <x v="4"/>
    <x v="1"/>
    <x v="3"/>
    <x v="3"/>
    <x v="1"/>
    <n v="-300"/>
  </r>
  <r>
    <d v="2021-04-28T00:00:00"/>
    <s v="Fashionistas"/>
    <x v="77"/>
    <x v="1"/>
    <x v="7"/>
    <x v="4"/>
    <x v="1"/>
    <x v="3"/>
    <x v="3"/>
    <x v="2"/>
    <n v="-148.1"/>
  </r>
  <r>
    <d v="2021-04-28T00:00:00"/>
    <s v="Uba"/>
    <x v="78"/>
    <x v="1"/>
    <x v="9"/>
    <x v="3"/>
    <x v="1"/>
    <x v="3"/>
    <x v="3"/>
    <x v="2"/>
    <n v="-26.1"/>
  </r>
  <r>
    <d v="2021-04-29T00:00:00"/>
    <s v="Foodary"/>
    <x v="61"/>
    <x v="1"/>
    <x v="8"/>
    <x v="1"/>
    <x v="1"/>
    <x v="3"/>
    <x v="3"/>
    <x v="3"/>
    <n v="-15"/>
  </r>
  <r>
    <d v="2021-04-29T00:00:00"/>
    <s v="Drink"/>
    <x v="1"/>
    <x v="1"/>
    <x v="1"/>
    <x v="1"/>
    <x v="1"/>
    <x v="3"/>
    <x v="3"/>
    <x v="3"/>
    <n v="-5"/>
  </r>
  <r>
    <d v="2021-04-30T00:00:00"/>
    <s v="Drink"/>
    <x v="1"/>
    <x v="1"/>
    <x v="1"/>
    <x v="1"/>
    <x v="1"/>
    <x v="3"/>
    <x v="3"/>
    <x v="4"/>
    <n v="-5"/>
  </r>
  <r>
    <d v="2021-05-02T00:00:00"/>
    <s v="Drink"/>
    <x v="1"/>
    <x v="1"/>
    <x v="1"/>
    <x v="1"/>
    <x v="1"/>
    <x v="4"/>
    <x v="4"/>
    <x v="6"/>
    <n v="-5"/>
  </r>
  <r>
    <d v="2021-05-03T00:00:00"/>
    <s v="Data With Decision"/>
    <x v="0"/>
    <x v="0"/>
    <x v="0"/>
    <x v="0"/>
    <x v="0"/>
    <x v="4"/>
    <x v="4"/>
    <x v="0"/>
    <n v="5000"/>
  </r>
  <r>
    <d v="2021-05-03T00:00:00"/>
    <s v="Estate Mangement"/>
    <x v="2"/>
    <x v="1"/>
    <x v="2"/>
    <x v="2"/>
    <x v="1"/>
    <x v="4"/>
    <x v="4"/>
    <x v="0"/>
    <n v="-900"/>
  </r>
  <r>
    <d v="2021-05-03T00:00:00"/>
    <s v="Financail upgrade"/>
    <x v="3"/>
    <x v="1"/>
    <x v="3"/>
    <x v="3"/>
    <x v="1"/>
    <x v="4"/>
    <x v="4"/>
    <x v="0"/>
    <n v="-150"/>
  </r>
  <r>
    <d v="2021-05-03T00:00:00"/>
    <s v="Drink"/>
    <x v="1"/>
    <x v="1"/>
    <x v="1"/>
    <x v="1"/>
    <x v="1"/>
    <x v="4"/>
    <x v="4"/>
    <x v="0"/>
    <n v="-5"/>
  </r>
  <r>
    <d v="2021-05-04T00:00:00"/>
    <s v="Drink"/>
    <x v="1"/>
    <x v="1"/>
    <x v="1"/>
    <x v="1"/>
    <x v="1"/>
    <x v="4"/>
    <x v="4"/>
    <x v="1"/>
    <n v="-5"/>
  </r>
  <r>
    <d v="2021-05-05T00:00:00"/>
    <s v="Drink"/>
    <x v="1"/>
    <x v="1"/>
    <x v="1"/>
    <x v="1"/>
    <x v="1"/>
    <x v="4"/>
    <x v="4"/>
    <x v="2"/>
    <n v="-5"/>
  </r>
  <r>
    <d v="2021-05-06T00:00:00"/>
    <s v="Drink"/>
    <x v="1"/>
    <x v="1"/>
    <x v="1"/>
    <x v="1"/>
    <x v="1"/>
    <x v="4"/>
    <x v="4"/>
    <x v="3"/>
    <n v="-5"/>
  </r>
  <r>
    <d v="2021-05-06T00:00:00"/>
    <s v="Green's"/>
    <x v="14"/>
    <x v="1"/>
    <x v="4"/>
    <x v="2"/>
    <x v="1"/>
    <x v="4"/>
    <x v="4"/>
    <x v="3"/>
    <n v="-170"/>
  </r>
  <r>
    <d v="2021-05-09T00:00:00"/>
    <s v="Power source"/>
    <x v="79"/>
    <x v="1"/>
    <x v="5"/>
    <x v="2"/>
    <x v="1"/>
    <x v="4"/>
    <x v="4"/>
    <x v="6"/>
    <n v="-54.1"/>
  </r>
  <r>
    <d v="2021-05-09T00:00:00"/>
    <s v="Drink"/>
    <x v="1"/>
    <x v="1"/>
    <x v="1"/>
    <x v="1"/>
    <x v="1"/>
    <x v="4"/>
    <x v="4"/>
    <x v="6"/>
    <n v="-5"/>
  </r>
  <r>
    <d v="2021-05-10T00:00:00"/>
    <s v="Drink"/>
    <x v="1"/>
    <x v="1"/>
    <x v="1"/>
    <x v="1"/>
    <x v="1"/>
    <x v="4"/>
    <x v="4"/>
    <x v="0"/>
    <n v="-5"/>
  </r>
  <r>
    <d v="2021-05-11T00:00:00"/>
    <s v="Fuel"/>
    <x v="80"/>
    <x v="1"/>
    <x v="15"/>
    <x v="3"/>
    <x v="1"/>
    <x v="4"/>
    <x v="4"/>
    <x v="1"/>
    <n v="-81"/>
  </r>
  <r>
    <d v="2021-05-11T00:00:00"/>
    <s v="Drink"/>
    <x v="1"/>
    <x v="1"/>
    <x v="1"/>
    <x v="1"/>
    <x v="1"/>
    <x v="4"/>
    <x v="4"/>
    <x v="1"/>
    <n v="-5"/>
  </r>
  <r>
    <d v="2021-05-12T00:00:00"/>
    <s v="Drink"/>
    <x v="1"/>
    <x v="1"/>
    <x v="1"/>
    <x v="1"/>
    <x v="1"/>
    <x v="4"/>
    <x v="4"/>
    <x v="2"/>
    <n v="-5"/>
  </r>
  <r>
    <d v="2021-05-13T00:00:00"/>
    <s v="Green's"/>
    <x v="81"/>
    <x v="1"/>
    <x v="4"/>
    <x v="2"/>
    <x v="1"/>
    <x v="4"/>
    <x v="4"/>
    <x v="3"/>
    <n v="-139.1"/>
  </r>
  <r>
    <d v="2021-05-13T00:00:00"/>
    <s v="Drink"/>
    <x v="1"/>
    <x v="1"/>
    <x v="1"/>
    <x v="1"/>
    <x v="1"/>
    <x v="4"/>
    <x v="4"/>
    <x v="3"/>
    <n v="-5"/>
  </r>
  <r>
    <d v="2021-05-14T00:00:00"/>
    <s v="Drink"/>
    <x v="1"/>
    <x v="1"/>
    <x v="1"/>
    <x v="1"/>
    <x v="1"/>
    <x v="4"/>
    <x v="4"/>
    <x v="4"/>
    <n v="-5"/>
  </r>
  <r>
    <d v="2021-05-14T00:00:00"/>
    <s v="Cinemas"/>
    <x v="82"/>
    <x v="1"/>
    <x v="6"/>
    <x v="4"/>
    <x v="1"/>
    <x v="4"/>
    <x v="4"/>
    <x v="4"/>
    <n v="-43.9"/>
  </r>
  <r>
    <d v="2021-05-14T00:00:00"/>
    <s v="Fashionistas"/>
    <x v="83"/>
    <x v="1"/>
    <x v="7"/>
    <x v="4"/>
    <x v="1"/>
    <x v="4"/>
    <x v="4"/>
    <x v="4"/>
    <n v="-101.80000000000001"/>
  </r>
  <r>
    <d v="2021-05-14T00:00:00"/>
    <s v="Burger"/>
    <x v="84"/>
    <x v="1"/>
    <x v="8"/>
    <x v="1"/>
    <x v="1"/>
    <x v="4"/>
    <x v="4"/>
    <x v="4"/>
    <n v="-55.9"/>
  </r>
  <r>
    <d v="2021-05-15T00:00:00"/>
    <s v="Uba"/>
    <x v="13"/>
    <x v="1"/>
    <x v="9"/>
    <x v="3"/>
    <x v="1"/>
    <x v="4"/>
    <x v="4"/>
    <x v="5"/>
    <n v="-32"/>
  </r>
  <r>
    <d v="2021-05-16T00:00:00"/>
    <s v="Onlne earning"/>
    <x v="0"/>
    <x v="4"/>
    <x v="10"/>
    <x v="5"/>
    <x v="0"/>
    <x v="4"/>
    <x v="4"/>
    <x v="6"/>
    <n v="1000"/>
  </r>
  <r>
    <d v="2021-05-16T00:00:00"/>
    <s v="Drink"/>
    <x v="1"/>
    <x v="1"/>
    <x v="1"/>
    <x v="1"/>
    <x v="1"/>
    <x v="4"/>
    <x v="4"/>
    <x v="6"/>
    <n v="-5"/>
  </r>
  <r>
    <d v="2021-05-17T00:00:00"/>
    <s v="Drink"/>
    <x v="1"/>
    <x v="1"/>
    <x v="1"/>
    <x v="1"/>
    <x v="1"/>
    <x v="4"/>
    <x v="4"/>
    <x v="0"/>
    <n v="-5"/>
  </r>
  <r>
    <d v="2021-05-17T00:00:00"/>
    <s v="Taken medication"/>
    <x v="50"/>
    <x v="1"/>
    <x v="16"/>
    <x v="7"/>
    <x v="1"/>
    <x v="4"/>
    <x v="4"/>
    <x v="0"/>
    <n v="-75"/>
  </r>
  <r>
    <d v="2021-05-17T00:00:00"/>
    <s v="Phone"/>
    <x v="8"/>
    <x v="1"/>
    <x v="12"/>
    <x v="2"/>
    <x v="1"/>
    <x v="4"/>
    <x v="4"/>
    <x v="0"/>
    <n v="-40"/>
  </r>
  <r>
    <d v="2021-05-18T00:00:00"/>
    <s v="Sallah give away"/>
    <x v="85"/>
    <x v="1"/>
    <x v="13"/>
    <x v="4"/>
    <x v="1"/>
    <x v="4"/>
    <x v="4"/>
    <x v="1"/>
    <n v="-49"/>
  </r>
  <r>
    <d v="2021-05-18T00:00:00"/>
    <s v="Online streaming"/>
    <x v="33"/>
    <x v="1"/>
    <x v="6"/>
    <x v="4"/>
    <x v="1"/>
    <x v="4"/>
    <x v="4"/>
    <x v="1"/>
    <n v="-35"/>
  </r>
  <r>
    <d v="2021-05-18T00:00:00"/>
    <s v="Drink"/>
    <x v="1"/>
    <x v="1"/>
    <x v="1"/>
    <x v="1"/>
    <x v="1"/>
    <x v="4"/>
    <x v="4"/>
    <x v="1"/>
    <n v="-5"/>
  </r>
  <r>
    <d v="2021-05-19T00:00:00"/>
    <s v="Drink"/>
    <x v="1"/>
    <x v="1"/>
    <x v="1"/>
    <x v="1"/>
    <x v="1"/>
    <x v="4"/>
    <x v="4"/>
    <x v="2"/>
    <n v="-5"/>
  </r>
  <r>
    <d v="2021-05-20T00:00:00"/>
    <s v="Drink"/>
    <x v="1"/>
    <x v="1"/>
    <x v="1"/>
    <x v="1"/>
    <x v="1"/>
    <x v="4"/>
    <x v="4"/>
    <x v="3"/>
    <n v="-5"/>
  </r>
  <r>
    <d v="2021-05-20T00:00:00"/>
    <s v="Green's"/>
    <x v="86"/>
    <x v="1"/>
    <x v="4"/>
    <x v="2"/>
    <x v="1"/>
    <x v="4"/>
    <x v="4"/>
    <x v="3"/>
    <n v="-174"/>
  </r>
  <r>
    <d v="2021-05-21T00:00:00"/>
    <s v="Suya"/>
    <x v="87"/>
    <x v="1"/>
    <x v="8"/>
    <x v="1"/>
    <x v="1"/>
    <x v="4"/>
    <x v="4"/>
    <x v="4"/>
    <n v="-41.1"/>
  </r>
  <r>
    <d v="2021-05-22T00:00:00"/>
    <s v="Oha soup/White soup"/>
    <x v="88"/>
    <x v="1"/>
    <x v="8"/>
    <x v="1"/>
    <x v="1"/>
    <x v="4"/>
    <x v="4"/>
    <x v="5"/>
    <n v="-16.2"/>
  </r>
  <r>
    <d v="2021-05-23T00:00:00"/>
    <s v="Orphanage"/>
    <x v="17"/>
    <x v="1"/>
    <x v="14"/>
    <x v="6"/>
    <x v="1"/>
    <x v="4"/>
    <x v="4"/>
    <x v="6"/>
    <n v="-55"/>
  </r>
  <r>
    <d v="2021-05-23T00:00:00"/>
    <s v="Fuel"/>
    <x v="89"/>
    <x v="1"/>
    <x v="15"/>
    <x v="3"/>
    <x v="1"/>
    <x v="4"/>
    <x v="4"/>
    <x v="6"/>
    <n v="-67"/>
  </r>
  <r>
    <d v="2021-05-23T00:00:00"/>
    <s v="Drink"/>
    <x v="1"/>
    <x v="1"/>
    <x v="1"/>
    <x v="1"/>
    <x v="1"/>
    <x v="4"/>
    <x v="4"/>
    <x v="6"/>
    <n v="-5"/>
  </r>
  <r>
    <d v="2021-05-24T00:00:00"/>
    <s v="Drink"/>
    <x v="1"/>
    <x v="1"/>
    <x v="1"/>
    <x v="1"/>
    <x v="1"/>
    <x v="4"/>
    <x v="4"/>
    <x v="0"/>
    <n v="-5"/>
  </r>
  <r>
    <d v="2021-05-25T00:00:00"/>
    <s v="Drink"/>
    <x v="1"/>
    <x v="1"/>
    <x v="1"/>
    <x v="1"/>
    <x v="1"/>
    <x v="4"/>
    <x v="4"/>
    <x v="1"/>
    <n v="-5"/>
  </r>
  <r>
    <d v="2021-05-26T00:00:00"/>
    <s v="Drink"/>
    <x v="1"/>
    <x v="1"/>
    <x v="1"/>
    <x v="1"/>
    <x v="1"/>
    <x v="4"/>
    <x v="4"/>
    <x v="2"/>
    <n v="-5"/>
  </r>
  <r>
    <d v="2021-05-27T00:00:00"/>
    <s v="Drink"/>
    <x v="1"/>
    <x v="1"/>
    <x v="1"/>
    <x v="1"/>
    <x v="1"/>
    <x v="4"/>
    <x v="4"/>
    <x v="3"/>
    <n v="-5"/>
  </r>
  <r>
    <d v="2021-05-27T00:00:00"/>
    <s v="Green's"/>
    <x v="90"/>
    <x v="1"/>
    <x v="4"/>
    <x v="2"/>
    <x v="1"/>
    <x v="4"/>
    <x v="4"/>
    <x v="3"/>
    <n v="-165.8"/>
  </r>
  <r>
    <d v="2021-05-28T00:00:00"/>
    <s v="Trainers"/>
    <x v="91"/>
    <x v="1"/>
    <x v="7"/>
    <x v="4"/>
    <x v="1"/>
    <x v="4"/>
    <x v="4"/>
    <x v="4"/>
    <n v="-128.80000000000001"/>
  </r>
  <r>
    <d v="2021-05-28T00:00:00"/>
    <s v="Home décor"/>
    <x v="92"/>
    <x v="1"/>
    <x v="17"/>
    <x v="4"/>
    <x v="1"/>
    <x v="4"/>
    <x v="4"/>
    <x v="4"/>
    <n v="-235"/>
  </r>
  <r>
    <d v="2021-05-29T00:00:00"/>
    <s v="Fashionistas"/>
    <x v="93"/>
    <x v="1"/>
    <x v="7"/>
    <x v="4"/>
    <x v="1"/>
    <x v="4"/>
    <x v="4"/>
    <x v="5"/>
    <n v="-149.19999999999999"/>
  </r>
  <r>
    <d v="2021-05-29T00:00:00"/>
    <s v="Uba"/>
    <x v="94"/>
    <x v="1"/>
    <x v="9"/>
    <x v="3"/>
    <x v="1"/>
    <x v="4"/>
    <x v="4"/>
    <x v="5"/>
    <n v="-27.200000000000003"/>
  </r>
  <r>
    <d v="2021-05-31T00:00:00"/>
    <s v="Foodary"/>
    <x v="61"/>
    <x v="1"/>
    <x v="8"/>
    <x v="1"/>
    <x v="1"/>
    <x v="4"/>
    <x v="4"/>
    <x v="0"/>
    <n v="-15"/>
  </r>
  <r>
    <d v="2021-05-30T00:00:00"/>
    <s v="Drink"/>
    <x v="1"/>
    <x v="1"/>
    <x v="1"/>
    <x v="1"/>
    <x v="1"/>
    <x v="4"/>
    <x v="4"/>
    <x v="6"/>
    <n v="-5"/>
  </r>
  <r>
    <d v="2021-05-31T00:00:00"/>
    <s v="Drink"/>
    <x v="1"/>
    <x v="1"/>
    <x v="1"/>
    <x v="1"/>
    <x v="1"/>
    <x v="4"/>
    <x v="4"/>
    <x v="0"/>
    <n v="-5"/>
  </r>
  <r>
    <d v="2021-06-01T00:00:00"/>
    <s v="Data With Decision"/>
    <x v="0"/>
    <x v="0"/>
    <x v="0"/>
    <x v="0"/>
    <x v="0"/>
    <x v="5"/>
    <x v="5"/>
    <x v="1"/>
    <n v="5000"/>
  </r>
  <r>
    <d v="2021-06-03T00:00:00"/>
    <s v="Drink"/>
    <x v="1"/>
    <x v="1"/>
    <x v="1"/>
    <x v="1"/>
    <x v="1"/>
    <x v="5"/>
    <x v="5"/>
    <x v="3"/>
    <n v="-5"/>
  </r>
  <r>
    <d v="2021-06-03T00:00:00"/>
    <s v="Estate Mangement"/>
    <x v="2"/>
    <x v="1"/>
    <x v="2"/>
    <x v="2"/>
    <x v="1"/>
    <x v="5"/>
    <x v="5"/>
    <x v="3"/>
    <n v="-900"/>
  </r>
  <r>
    <d v="2021-06-03T00:00:00"/>
    <s v="Financail upgrade"/>
    <x v="3"/>
    <x v="1"/>
    <x v="3"/>
    <x v="3"/>
    <x v="1"/>
    <x v="5"/>
    <x v="5"/>
    <x v="3"/>
    <n v="-150"/>
  </r>
  <r>
    <d v="2021-06-03T00:00:00"/>
    <s v="Drink"/>
    <x v="1"/>
    <x v="1"/>
    <x v="1"/>
    <x v="1"/>
    <x v="1"/>
    <x v="5"/>
    <x v="5"/>
    <x v="3"/>
    <n v="-5"/>
  </r>
  <r>
    <d v="2021-06-04T00:00:00"/>
    <s v="Drink"/>
    <x v="1"/>
    <x v="1"/>
    <x v="1"/>
    <x v="1"/>
    <x v="1"/>
    <x v="5"/>
    <x v="5"/>
    <x v="4"/>
    <n v="-5"/>
  </r>
  <r>
    <d v="2021-06-05T00:00:00"/>
    <s v="Drink"/>
    <x v="1"/>
    <x v="1"/>
    <x v="1"/>
    <x v="1"/>
    <x v="1"/>
    <x v="5"/>
    <x v="5"/>
    <x v="5"/>
    <n v="-5"/>
  </r>
  <r>
    <d v="2021-06-06T00:00:00"/>
    <s v="Drink"/>
    <x v="1"/>
    <x v="1"/>
    <x v="1"/>
    <x v="1"/>
    <x v="1"/>
    <x v="5"/>
    <x v="5"/>
    <x v="6"/>
    <n v="-5"/>
  </r>
  <r>
    <d v="2021-06-06T00:00:00"/>
    <s v="Green's"/>
    <x v="95"/>
    <x v="1"/>
    <x v="4"/>
    <x v="2"/>
    <x v="1"/>
    <x v="5"/>
    <x v="5"/>
    <x v="6"/>
    <n v="-119"/>
  </r>
  <r>
    <d v="2021-06-09T00:00:00"/>
    <s v="Power source"/>
    <x v="17"/>
    <x v="1"/>
    <x v="5"/>
    <x v="2"/>
    <x v="1"/>
    <x v="5"/>
    <x v="5"/>
    <x v="2"/>
    <n v="-55"/>
  </r>
  <r>
    <d v="2021-06-09T00:00:00"/>
    <s v="Drink"/>
    <x v="1"/>
    <x v="1"/>
    <x v="1"/>
    <x v="1"/>
    <x v="1"/>
    <x v="5"/>
    <x v="5"/>
    <x v="2"/>
    <n v="-5"/>
  </r>
  <r>
    <d v="2021-06-10T00:00:00"/>
    <s v="Drink"/>
    <x v="1"/>
    <x v="1"/>
    <x v="1"/>
    <x v="1"/>
    <x v="1"/>
    <x v="5"/>
    <x v="5"/>
    <x v="3"/>
    <n v="-5"/>
  </r>
  <r>
    <d v="2021-06-11T00:00:00"/>
    <s v="Fuel"/>
    <x v="96"/>
    <x v="1"/>
    <x v="15"/>
    <x v="3"/>
    <x v="1"/>
    <x v="5"/>
    <x v="5"/>
    <x v="4"/>
    <n v="-82.1"/>
  </r>
  <r>
    <d v="2021-06-11T00:00:00"/>
    <s v="Drink"/>
    <x v="1"/>
    <x v="1"/>
    <x v="1"/>
    <x v="1"/>
    <x v="1"/>
    <x v="5"/>
    <x v="5"/>
    <x v="4"/>
    <n v="-5"/>
  </r>
  <r>
    <d v="2021-06-12T00:00:00"/>
    <s v="Drink"/>
    <x v="1"/>
    <x v="1"/>
    <x v="1"/>
    <x v="1"/>
    <x v="1"/>
    <x v="5"/>
    <x v="5"/>
    <x v="5"/>
    <n v="-5"/>
  </r>
  <r>
    <d v="2021-06-13T00:00:00"/>
    <s v="Green's"/>
    <x v="97"/>
    <x v="1"/>
    <x v="4"/>
    <x v="2"/>
    <x v="1"/>
    <x v="5"/>
    <x v="5"/>
    <x v="6"/>
    <n v="-140.19999999999999"/>
  </r>
  <r>
    <d v="2021-06-13T00:00:00"/>
    <s v="Drink"/>
    <x v="1"/>
    <x v="1"/>
    <x v="1"/>
    <x v="1"/>
    <x v="1"/>
    <x v="5"/>
    <x v="5"/>
    <x v="6"/>
    <n v="-5"/>
  </r>
  <r>
    <d v="2021-06-14T00:00:00"/>
    <s v="Drink"/>
    <x v="1"/>
    <x v="1"/>
    <x v="1"/>
    <x v="1"/>
    <x v="1"/>
    <x v="5"/>
    <x v="5"/>
    <x v="0"/>
    <n v="-5"/>
  </r>
  <r>
    <d v="2021-06-14T00:00:00"/>
    <s v="Cinemas"/>
    <x v="98"/>
    <x v="1"/>
    <x v="6"/>
    <x v="4"/>
    <x v="1"/>
    <x v="5"/>
    <x v="5"/>
    <x v="0"/>
    <n v="-44.9"/>
  </r>
  <r>
    <d v="2021-06-14T00:00:00"/>
    <s v="Fashionistas"/>
    <x v="99"/>
    <x v="1"/>
    <x v="7"/>
    <x v="4"/>
    <x v="1"/>
    <x v="5"/>
    <x v="5"/>
    <x v="0"/>
    <n v="-102.9"/>
  </r>
  <r>
    <d v="2021-06-14T00:00:00"/>
    <s v="Burger"/>
    <x v="100"/>
    <x v="1"/>
    <x v="8"/>
    <x v="1"/>
    <x v="1"/>
    <x v="5"/>
    <x v="5"/>
    <x v="0"/>
    <n v="-56.9"/>
  </r>
  <r>
    <d v="2021-06-15T00:00:00"/>
    <s v="Uba"/>
    <x v="101"/>
    <x v="1"/>
    <x v="9"/>
    <x v="3"/>
    <x v="1"/>
    <x v="5"/>
    <x v="5"/>
    <x v="1"/>
    <n v="-33.1"/>
  </r>
  <r>
    <d v="2021-06-16T00:00:00"/>
    <s v="Onlne earning"/>
    <x v="0"/>
    <x v="6"/>
    <x v="10"/>
    <x v="5"/>
    <x v="0"/>
    <x v="5"/>
    <x v="5"/>
    <x v="2"/>
    <n v="100"/>
  </r>
  <r>
    <d v="2021-06-16T00:00:00"/>
    <s v="Drink"/>
    <x v="1"/>
    <x v="1"/>
    <x v="1"/>
    <x v="1"/>
    <x v="1"/>
    <x v="5"/>
    <x v="5"/>
    <x v="2"/>
    <n v="-5"/>
  </r>
  <r>
    <d v="2021-06-17T00:00:00"/>
    <s v="Drink"/>
    <x v="1"/>
    <x v="1"/>
    <x v="1"/>
    <x v="1"/>
    <x v="1"/>
    <x v="5"/>
    <x v="5"/>
    <x v="3"/>
    <n v="-5"/>
  </r>
  <r>
    <d v="2021-06-17T00:00:00"/>
    <s v="Phone"/>
    <x v="8"/>
    <x v="1"/>
    <x v="12"/>
    <x v="2"/>
    <x v="1"/>
    <x v="5"/>
    <x v="5"/>
    <x v="3"/>
    <n v="-40"/>
  </r>
  <r>
    <d v="2021-06-18T00:00:00"/>
    <s v="Sallah give away"/>
    <x v="102"/>
    <x v="1"/>
    <x v="13"/>
    <x v="4"/>
    <x v="1"/>
    <x v="5"/>
    <x v="5"/>
    <x v="4"/>
    <n v="-50.1"/>
  </r>
  <r>
    <d v="2021-06-18T00:00:00"/>
    <s v="Online streaming"/>
    <x v="33"/>
    <x v="1"/>
    <x v="6"/>
    <x v="4"/>
    <x v="1"/>
    <x v="5"/>
    <x v="5"/>
    <x v="4"/>
    <n v="-35"/>
  </r>
  <r>
    <d v="2021-06-18T00:00:00"/>
    <s v="Drink"/>
    <x v="1"/>
    <x v="1"/>
    <x v="1"/>
    <x v="1"/>
    <x v="1"/>
    <x v="5"/>
    <x v="5"/>
    <x v="4"/>
    <n v="-5"/>
  </r>
  <r>
    <d v="2021-06-19T00:00:00"/>
    <s v="Drink"/>
    <x v="1"/>
    <x v="1"/>
    <x v="1"/>
    <x v="1"/>
    <x v="1"/>
    <x v="5"/>
    <x v="5"/>
    <x v="5"/>
    <n v="-5"/>
  </r>
  <r>
    <d v="2021-06-20T00:00:00"/>
    <s v="Drink"/>
    <x v="1"/>
    <x v="1"/>
    <x v="1"/>
    <x v="1"/>
    <x v="1"/>
    <x v="5"/>
    <x v="5"/>
    <x v="6"/>
    <n v="-5"/>
  </r>
  <r>
    <d v="2021-06-20T00:00:00"/>
    <s v="Green's"/>
    <x v="103"/>
    <x v="1"/>
    <x v="4"/>
    <x v="2"/>
    <x v="1"/>
    <x v="5"/>
    <x v="5"/>
    <x v="6"/>
    <n v="-234"/>
  </r>
  <r>
    <d v="2021-06-21T00:00:00"/>
    <s v="Suya"/>
    <x v="104"/>
    <x v="1"/>
    <x v="8"/>
    <x v="1"/>
    <x v="1"/>
    <x v="5"/>
    <x v="5"/>
    <x v="0"/>
    <n v="-42.1"/>
  </r>
  <r>
    <d v="2021-06-22T00:00:00"/>
    <s v="Oha soup/White soup"/>
    <x v="105"/>
    <x v="1"/>
    <x v="8"/>
    <x v="1"/>
    <x v="1"/>
    <x v="5"/>
    <x v="5"/>
    <x v="1"/>
    <n v="-17.099999999999998"/>
  </r>
  <r>
    <d v="2021-06-23T00:00:00"/>
    <s v="Orphanage"/>
    <x v="17"/>
    <x v="1"/>
    <x v="14"/>
    <x v="6"/>
    <x v="1"/>
    <x v="5"/>
    <x v="5"/>
    <x v="2"/>
    <n v="-55"/>
  </r>
  <r>
    <d v="2021-06-23T00:00:00"/>
    <s v="Fuel"/>
    <x v="106"/>
    <x v="1"/>
    <x v="15"/>
    <x v="3"/>
    <x v="1"/>
    <x v="5"/>
    <x v="5"/>
    <x v="2"/>
    <n v="-67.900000000000006"/>
  </r>
  <r>
    <d v="2021-06-23T00:00:00"/>
    <s v="Drink"/>
    <x v="1"/>
    <x v="1"/>
    <x v="1"/>
    <x v="1"/>
    <x v="1"/>
    <x v="5"/>
    <x v="5"/>
    <x v="2"/>
    <n v="-5"/>
  </r>
  <r>
    <d v="2021-06-24T00:00:00"/>
    <s v="Drink"/>
    <x v="1"/>
    <x v="1"/>
    <x v="1"/>
    <x v="1"/>
    <x v="1"/>
    <x v="5"/>
    <x v="5"/>
    <x v="3"/>
    <n v="-5"/>
  </r>
  <r>
    <d v="2021-06-25T00:00:00"/>
    <s v="Drink"/>
    <x v="1"/>
    <x v="1"/>
    <x v="1"/>
    <x v="1"/>
    <x v="1"/>
    <x v="5"/>
    <x v="5"/>
    <x v="4"/>
    <n v="-5"/>
  </r>
  <r>
    <d v="2021-06-26T00:00:00"/>
    <s v="Drink"/>
    <x v="1"/>
    <x v="1"/>
    <x v="1"/>
    <x v="1"/>
    <x v="1"/>
    <x v="5"/>
    <x v="5"/>
    <x v="5"/>
    <n v="-5"/>
  </r>
  <r>
    <d v="2021-06-27T00:00:00"/>
    <s v="Drink"/>
    <x v="1"/>
    <x v="1"/>
    <x v="1"/>
    <x v="1"/>
    <x v="1"/>
    <x v="5"/>
    <x v="5"/>
    <x v="6"/>
    <n v="-5"/>
  </r>
  <r>
    <d v="2021-06-27T00:00:00"/>
    <s v="Green's"/>
    <x v="107"/>
    <x v="1"/>
    <x v="4"/>
    <x v="2"/>
    <x v="1"/>
    <x v="5"/>
    <x v="5"/>
    <x v="6"/>
    <n v="-166.9"/>
  </r>
  <r>
    <d v="2021-06-28T00:00:00"/>
    <s v="Trainers"/>
    <x v="108"/>
    <x v="1"/>
    <x v="7"/>
    <x v="4"/>
    <x v="1"/>
    <x v="5"/>
    <x v="5"/>
    <x v="0"/>
    <n v="-129.9"/>
  </r>
  <r>
    <d v="2021-06-28T00:00:00"/>
    <s v="Hangingout/Ticket"/>
    <x v="109"/>
    <x v="1"/>
    <x v="6"/>
    <x v="4"/>
    <x v="1"/>
    <x v="5"/>
    <x v="5"/>
    <x v="0"/>
    <n v="-180.29999999999998"/>
  </r>
  <r>
    <d v="2021-06-29T00:00:00"/>
    <s v="Fashionistas"/>
    <x v="110"/>
    <x v="1"/>
    <x v="7"/>
    <x v="4"/>
    <x v="1"/>
    <x v="5"/>
    <x v="5"/>
    <x v="1"/>
    <n v="-150.1"/>
  </r>
  <r>
    <d v="2021-06-29T00:00:00"/>
    <s v="Uba"/>
    <x v="111"/>
    <x v="1"/>
    <x v="9"/>
    <x v="3"/>
    <x v="1"/>
    <x v="5"/>
    <x v="5"/>
    <x v="1"/>
    <n v="-28.200000000000003"/>
  </r>
  <r>
    <d v="2021-06-29T00:00:00"/>
    <s v="Foodary"/>
    <x v="61"/>
    <x v="1"/>
    <x v="8"/>
    <x v="1"/>
    <x v="1"/>
    <x v="5"/>
    <x v="5"/>
    <x v="1"/>
    <n v="-15"/>
  </r>
  <r>
    <d v="2021-06-30T00:00:00"/>
    <s v="Drink"/>
    <x v="1"/>
    <x v="1"/>
    <x v="1"/>
    <x v="1"/>
    <x v="1"/>
    <x v="5"/>
    <x v="5"/>
    <x v="2"/>
    <n v="-5"/>
  </r>
  <r>
    <d v="2021-07-01T00:00:00"/>
    <s v="Drink"/>
    <x v="1"/>
    <x v="1"/>
    <x v="1"/>
    <x v="1"/>
    <x v="1"/>
    <x v="6"/>
    <x v="6"/>
    <x v="3"/>
    <n v="-5"/>
  </r>
  <r>
    <d v="2021-07-02T00:00:00"/>
    <s v="Data With Decision"/>
    <x v="0"/>
    <x v="0"/>
    <x v="0"/>
    <x v="0"/>
    <x v="0"/>
    <x v="6"/>
    <x v="6"/>
    <x v="4"/>
    <n v="5000"/>
  </r>
  <r>
    <d v="2021-07-03T00:00:00"/>
    <s v="Drink"/>
    <x v="1"/>
    <x v="1"/>
    <x v="1"/>
    <x v="1"/>
    <x v="1"/>
    <x v="6"/>
    <x v="6"/>
    <x v="5"/>
    <n v="-5"/>
  </r>
  <r>
    <d v="2021-07-05T00:00:00"/>
    <s v="Estate Mangement"/>
    <x v="2"/>
    <x v="1"/>
    <x v="2"/>
    <x v="2"/>
    <x v="1"/>
    <x v="6"/>
    <x v="6"/>
    <x v="0"/>
    <n v="-900"/>
  </r>
  <r>
    <d v="2021-07-05T00:00:00"/>
    <s v="Financail upgrade"/>
    <x v="3"/>
    <x v="1"/>
    <x v="3"/>
    <x v="3"/>
    <x v="1"/>
    <x v="6"/>
    <x v="6"/>
    <x v="0"/>
    <n v="-150"/>
  </r>
  <r>
    <d v="2021-07-05T00:00:00"/>
    <s v="Feedings"/>
    <x v="61"/>
    <x v="1"/>
    <x v="8"/>
    <x v="1"/>
    <x v="1"/>
    <x v="6"/>
    <x v="6"/>
    <x v="0"/>
    <n v="-15"/>
  </r>
  <r>
    <d v="2021-07-05T00:00:00"/>
    <s v="Drink"/>
    <x v="1"/>
    <x v="1"/>
    <x v="1"/>
    <x v="1"/>
    <x v="1"/>
    <x v="6"/>
    <x v="6"/>
    <x v="0"/>
    <n v="-5"/>
  </r>
  <r>
    <d v="2021-07-06T00:00:00"/>
    <s v="Drink"/>
    <x v="1"/>
    <x v="1"/>
    <x v="1"/>
    <x v="1"/>
    <x v="1"/>
    <x v="6"/>
    <x v="6"/>
    <x v="1"/>
    <n v="-5"/>
  </r>
  <r>
    <d v="2021-07-07T00:00:00"/>
    <s v="Drink"/>
    <x v="1"/>
    <x v="1"/>
    <x v="1"/>
    <x v="1"/>
    <x v="1"/>
    <x v="6"/>
    <x v="6"/>
    <x v="2"/>
    <n v="-5"/>
  </r>
  <r>
    <d v="2021-07-07T00:00:00"/>
    <s v="Green's"/>
    <x v="112"/>
    <x v="1"/>
    <x v="4"/>
    <x v="2"/>
    <x v="1"/>
    <x v="6"/>
    <x v="6"/>
    <x v="2"/>
    <n v="-180"/>
  </r>
  <r>
    <d v="2021-07-10T00:00:00"/>
    <s v="Power source"/>
    <x v="113"/>
    <x v="1"/>
    <x v="5"/>
    <x v="2"/>
    <x v="1"/>
    <x v="6"/>
    <x v="6"/>
    <x v="5"/>
    <n v="-56.1"/>
  </r>
  <r>
    <d v="2021-07-10T00:00:00"/>
    <s v="Drink"/>
    <x v="1"/>
    <x v="1"/>
    <x v="1"/>
    <x v="1"/>
    <x v="1"/>
    <x v="6"/>
    <x v="6"/>
    <x v="5"/>
    <n v="-5"/>
  </r>
  <r>
    <d v="2021-07-11T00:00:00"/>
    <s v="Drink"/>
    <x v="1"/>
    <x v="1"/>
    <x v="1"/>
    <x v="1"/>
    <x v="1"/>
    <x v="6"/>
    <x v="6"/>
    <x v="6"/>
    <n v="-5"/>
  </r>
  <r>
    <d v="2021-07-12T00:00:00"/>
    <s v="Fuel"/>
    <x v="114"/>
    <x v="1"/>
    <x v="15"/>
    <x v="3"/>
    <x v="1"/>
    <x v="6"/>
    <x v="6"/>
    <x v="0"/>
    <n v="-83.1"/>
  </r>
  <r>
    <d v="2021-07-12T00:00:00"/>
    <s v="Drink"/>
    <x v="1"/>
    <x v="1"/>
    <x v="1"/>
    <x v="1"/>
    <x v="1"/>
    <x v="6"/>
    <x v="6"/>
    <x v="0"/>
    <n v="-5"/>
  </r>
  <r>
    <d v="2021-07-13T00:00:00"/>
    <s v="Drink"/>
    <x v="1"/>
    <x v="1"/>
    <x v="1"/>
    <x v="1"/>
    <x v="1"/>
    <x v="6"/>
    <x v="6"/>
    <x v="1"/>
    <n v="-5"/>
  </r>
  <r>
    <d v="2021-07-14T00:00:00"/>
    <s v="Green's"/>
    <x v="115"/>
    <x v="1"/>
    <x v="4"/>
    <x v="2"/>
    <x v="1"/>
    <x v="6"/>
    <x v="6"/>
    <x v="2"/>
    <n v="-141.1"/>
  </r>
  <r>
    <d v="2021-07-14T00:00:00"/>
    <s v="Drink"/>
    <x v="1"/>
    <x v="1"/>
    <x v="1"/>
    <x v="1"/>
    <x v="1"/>
    <x v="6"/>
    <x v="6"/>
    <x v="2"/>
    <n v="-5"/>
  </r>
  <r>
    <d v="2021-07-15T00:00:00"/>
    <s v="Drink"/>
    <x v="1"/>
    <x v="1"/>
    <x v="1"/>
    <x v="1"/>
    <x v="1"/>
    <x v="6"/>
    <x v="6"/>
    <x v="3"/>
    <n v="-5"/>
  </r>
  <r>
    <d v="2021-07-15T00:00:00"/>
    <s v="Cinemas"/>
    <x v="116"/>
    <x v="1"/>
    <x v="6"/>
    <x v="4"/>
    <x v="1"/>
    <x v="6"/>
    <x v="6"/>
    <x v="3"/>
    <n v="-45.8"/>
  </r>
  <r>
    <d v="2021-07-15T00:00:00"/>
    <s v="Fashionistas"/>
    <x v="117"/>
    <x v="1"/>
    <x v="7"/>
    <x v="4"/>
    <x v="1"/>
    <x v="6"/>
    <x v="6"/>
    <x v="3"/>
    <n v="-103.80000000000001"/>
  </r>
  <r>
    <d v="2021-07-15T00:00:00"/>
    <s v="Burger"/>
    <x v="118"/>
    <x v="1"/>
    <x v="8"/>
    <x v="1"/>
    <x v="1"/>
    <x v="6"/>
    <x v="6"/>
    <x v="3"/>
    <n v="-58"/>
  </r>
  <r>
    <d v="2021-07-16T00:00:00"/>
    <s v="Uba"/>
    <x v="119"/>
    <x v="1"/>
    <x v="9"/>
    <x v="3"/>
    <x v="1"/>
    <x v="6"/>
    <x v="6"/>
    <x v="4"/>
    <n v="-34.200000000000003"/>
  </r>
  <r>
    <d v="2021-07-17T00:00:00"/>
    <s v="Onlne earning"/>
    <x v="0"/>
    <x v="7"/>
    <x v="10"/>
    <x v="5"/>
    <x v="0"/>
    <x v="6"/>
    <x v="6"/>
    <x v="5"/>
    <n v="200"/>
  </r>
  <r>
    <d v="2021-07-17T00:00:00"/>
    <s v="Drink"/>
    <x v="1"/>
    <x v="1"/>
    <x v="1"/>
    <x v="1"/>
    <x v="1"/>
    <x v="6"/>
    <x v="6"/>
    <x v="5"/>
    <n v="-5"/>
  </r>
  <r>
    <d v="2021-07-18T00:00:00"/>
    <s v="Drink"/>
    <x v="1"/>
    <x v="1"/>
    <x v="1"/>
    <x v="1"/>
    <x v="1"/>
    <x v="6"/>
    <x v="6"/>
    <x v="6"/>
    <n v="-5"/>
  </r>
  <r>
    <d v="2021-07-18T00:00:00"/>
    <s v="Phone"/>
    <x v="8"/>
    <x v="1"/>
    <x v="12"/>
    <x v="2"/>
    <x v="1"/>
    <x v="6"/>
    <x v="6"/>
    <x v="6"/>
    <n v="-40"/>
  </r>
  <r>
    <d v="2021-07-19T00:00:00"/>
    <s v="Sallah give away"/>
    <x v="25"/>
    <x v="1"/>
    <x v="13"/>
    <x v="4"/>
    <x v="1"/>
    <x v="6"/>
    <x v="6"/>
    <x v="0"/>
    <n v="-51.1"/>
  </r>
  <r>
    <d v="2021-07-19T00:00:00"/>
    <s v="Online streaming"/>
    <x v="33"/>
    <x v="1"/>
    <x v="6"/>
    <x v="4"/>
    <x v="1"/>
    <x v="6"/>
    <x v="6"/>
    <x v="0"/>
    <n v="-35"/>
  </r>
  <r>
    <d v="2021-07-19T00:00:00"/>
    <s v="Drink"/>
    <x v="1"/>
    <x v="1"/>
    <x v="1"/>
    <x v="1"/>
    <x v="1"/>
    <x v="6"/>
    <x v="6"/>
    <x v="0"/>
    <n v="-5"/>
  </r>
  <r>
    <d v="2021-07-20T00:00:00"/>
    <s v="Drink"/>
    <x v="1"/>
    <x v="1"/>
    <x v="1"/>
    <x v="1"/>
    <x v="1"/>
    <x v="6"/>
    <x v="6"/>
    <x v="1"/>
    <n v="-5"/>
  </r>
  <r>
    <d v="2021-07-21T00:00:00"/>
    <s v="Drink"/>
    <x v="1"/>
    <x v="1"/>
    <x v="1"/>
    <x v="1"/>
    <x v="1"/>
    <x v="6"/>
    <x v="6"/>
    <x v="2"/>
    <n v="-5"/>
  </r>
  <r>
    <d v="2021-07-21T00:00:00"/>
    <s v="Green's"/>
    <x v="120"/>
    <x v="1"/>
    <x v="4"/>
    <x v="2"/>
    <x v="1"/>
    <x v="6"/>
    <x v="6"/>
    <x v="2"/>
    <n v="-176"/>
  </r>
  <r>
    <d v="2021-07-22T00:00:00"/>
    <s v="Suya"/>
    <x v="121"/>
    <x v="1"/>
    <x v="8"/>
    <x v="1"/>
    <x v="1"/>
    <x v="6"/>
    <x v="6"/>
    <x v="3"/>
    <n v="-43.1"/>
  </r>
  <r>
    <d v="2021-07-23T00:00:00"/>
    <s v="Oha soup/White soup"/>
    <x v="122"/>
    <x v="1"/>
    <x v="8"/>
    <x v="1"/>
    <x v="1"/>
    <x v="6"/>
    <x v="6"/>
    <x v="4"/>
    <n v="-18.2"/>
  </r>
  <r>
    <d v="2021-07-24T00:00:00"/>
    <s v="Orphanage"/>
    <x v="17"/>
    <x v="1"/>
    <x v="14"/>
    <x v="6"/>
    <x v="1"/>
    <x v="6"/>
    <x v="6"/>
    <x v="5"/>
    <n v="-55"/>
  </r>
  <r>
    <d v="2021-07-24T00:00:00"/>
    <s v="Fuel"/>
    <x v="123"/>
    <x v="1"/>
    <x v="15"/>
    <x v="3"/>
    <x v="1"/>
    <x v="6"/>
    <x v="6"/>
    <x v="5"/>
    <n v="-68.800000000000011"/>
  </r>
  <r>
    <d v="2021-07-24T00:00:00"/>
    <s v="Drink"/>
    <x v="1"/>
    <x v="1"/>
    <x v="1"/>
    <x v="1"/>
    <x v="1"/>
    <x v="6"/>
    <x v="6"/>
    <x v="5"/>
    <n v="-5"/>
  </r>
  <r>
    <d v="2021-07-25T00:00:00"/>
    <s v="Drink"/>
    <x v="1"/>
    <x v="1"/>
    <x v="1"/>
    <x v="1"/>
    <x v="1"/>
    <x v="6"/>
    <x v="6"/>
    <x v="6"/>
    <n v="-5"/>
  </r>
  <r>
    <d v="2021-07-26T00:00:00"/>
    <s v="Drink"/>
    <x v="1"/>
    <x v="1"/>
    <x v="1"/>
    <x v="1"/>
    <x v="1"/>
    <x v="6"/>
    <x v="6"/>
    <x v="0"/>
    <n v="-5"/>
  </r>
  <r>
    <d v="2021-07-27T00:00:00"/>
    <s v="Drink"/>
    <x v="1"/>
    <x v="1"/>
    <x v="1"/>
    <x v="1"/>
    <x v="1"/>
    <x v="6"/>
    <x v="6"/>
    <x v="1"/>
    <n v="-5"/>
  </r>
  <r>
    <d v="2021-07-28T00:00:00"/>
    <s v="Drink"/>
    <x v="1"/>
    <x v="1"/>
    <x v="1"/>
    <x v="1"/>
    <x v="1"/>
    <x v="6"/>
    <x v="6"/>
    <x v="2"/>
    <n v="-5"/>
  </r>
  <r>
    <d v="2021-07-28T00:00:00"/>
    <s v="Green's"/>
    <x v="124"/>
    <x v="1"/>
    <x v="4"/>
    <x v="2"/>
    <x v="1"/>
    <x v="6"/>
    <x v="6"/>
    <x v="2"/>
    <n v="-193"/>
  </r>
  <r>
    <d v="2021-07-29T00:00:00"/>
    <s v="Trainers"/>
    <x v="125"/>
    <x v="1"/>
    <x v="7"/>
    <x v="4"/>
    <x v="1"/>
    <x v="6"/>
    <x v="6"/>
    <x v="3"/>
    <n v="-130.80000000000001"/>
  </r>
  <r>
    <d v="2021-07-29T00:00:00"/>
    <s v="Home décor"/>
    <x v="126"/>
    <x v="1"/>
    <x v="17"/>
    <x v="4"/>
    <x v="1"/>
    <x v="6"/>
    <x v="6"/>
    <x v="3"/>
    <n v="-181.39999999999998"/>
  </r>
  <r>
    <d v="2021-07-30T00:00:00"/>
    <s v="Fashionistas"/>
    <x v="127"/>
    <x v="1"/>
    <x v="7"/>
    <x v="4"/>
    <x v="1"/>
    <x v="6"/>
    <x v="6"/>
    <x v="4"/>
    <n v="-151.19999999999999"/>
  </r>
  <r>
    <d v="2021-07-30T00:00:00"/>
    <s v="Uba"/>
    <x v="128"/>
    <x v="1"/>
    <x v="9"/>
    <x v="3"/>
    <x v="1"/>
    <x v="6"/>
    <x v="6"/>
    <x v="4"/>
    <n v="-29.300000000000004"/>
  </r>
  <r>
    <d v="2021-07-30T00:00:00"/>
    <s v="Foodary"/>
    <x v="61"/>
    <x v="1"/>
    <x v="8"/>
    <x v="1"/>
    <x v="1"/>
    <x v="6"/>
    <x v="6"/>
    <x v="4"/>
    <n v="-15"/>
  </r>
  <r>
    <d v="2021-07-31T00:00:00"/>
    <s v="Drink"/>
    <x v="1"/>
    <x v="1"/>
    <x v="1"/>
    <x v="1"/>
    <x v="1"/>
    <x v="6"/>
    <x v="6"/>
    <x v="5"/>
    <n v="-5"/>
  </r>
  <r>
    <d v="2021-08-02T00:00:00"/>
    <s v="Drink"/>
    <x v="1"/>
    <x v="1"/>
    <x v="1"/>
    <x v="1"/>
    <x v="1"/>
    <x v="7"/>
    <x v="7"/>
    <x v="0"/>
    <n v="-5"/>
  </r>
  <r>
    <d v="2021-08-02T00:00:00"/>
    <s v="Data With Decision"/>
    <x v="0"/>
    <x v="0"/>
    <x v="0"/>
    <x v="0"/>
    <x v="0"/>
    <x v="7"/>
    <x v="7"/>
    <x v="0"/>
    <n v="5000"/>
  </r>
  <r>
    <d v="2021-08-03T00:00:00"/>
    <s v="Drink"/>
    <x v="1"/>
    <x v="1"/>
    <x v="1"/>
    <x v="1"/>
    <x v="1"/>
    <x v="7"/>
    <x v="7"/>
    <x v="1"/>
    <n v="-5"/>
  </r>
  <r>
    <d v="2021-08-05T00:00:00"/>
    <s v="Estate Mangement"/>
    <x v="2"/>
    <x v="1"/>
    <x v="2"/>
    <x v="2"/>
    <x v="1"/>
    <x v="7"/>
    <x v="7"/>
    <x v="3"/>
    <n v="-900"/>
  </r>
  <r>
    <d v="2021-08-05T00:00:00"/>
    <s v="Financail upgrade"/>
    <x v="3"/>
    <x v="1"/>
    <x v="3"/>
    <x v="3"/>
    <x v="1"/>
    <x v="7"/>
    <x v="7"/>
    <x v="3"/>
    <n v="-150"/>
  </r>
  <r>
    <d v="2021-08-05T00:00:00"/>
    <s v="Drink"/>
    <x v="1"/>
    <x v="1"/>
    <x v="1"/>
    <x v="1"/>
    <x v="1"/>
    <x v="7"/>
    <x v="7"/>
    <x v="3"/>
    <n v="-5"/>
  </r>
  <r>
    <d v="2021-08-05T00:00:00"/>
    <s v="Drink"/>
    <x v="1"/>
    <x v="1"/>
    <x v="1"/>
    <x v="1"/>
    <x v="1"/>
    <x v="7"/>
    <x v="7"/>
    <x v="3"/>
    <n v="-5"/>
  </r>
  <r>
    <d v="2021-08-06T00:00:00"/>
    <s v="Drink"/>
    <x v="1"/>
    <x v="1"/>
    <x v="1"/>
    <x v="1"/>
    <x v="1"/>
    <x v="7"/>
    <x v="7"/>
    <x v="4"/>
    <n v="-5"/>
  </r>
  <r>
    <d v="2021-08-07T00:00:00"/>
    <s v="Drink"/>
    <x v="1"/>
    <x v="1"/>
    <x v="1"/>
    <x v="1"/>
    <x v="1"/>
    <x v="7"/>
    <x v="7"/>
    <x v="5"/>
    <n v="-5"/>
  </r>
  <r>
    <d v="2021-08-07T00:00:00"/>
    <s v="Green's"/>
    <x v="40"/>
    <x v="1"/>
    <x v="4"/>
    <x v="2"/>
    <x v="1"/>
    <x v="7"/>
    <x v="7"/>
    <x v="5"/>
    <n v="-137"/>
  </r>
  <r>
    <d v="2021-08-10T00:00:00"/>
    <s v="Power source"/>
    <x v="129"/>
    <x v="1"/>
    <x v="5"/>
    <x v="2"/>
    <x v="1"/>
    <x v="7"/>
    <x v="7"/>
    <x v="1"/>
    <n v="-57"/>
  </r>
  <r>
    <d v="2021-08-10T00:00:00"/>
    <s v="Drink"/>
    <x v="1"/>
    <x v="1"/>
    <x v="1"/>
    <x v="1"/>
    <x v="1"/>
    <x v="7"/>
    <x v="7"/>
    <x v="1"/>
    <n v="-5"/>
  </r>
  <r>
    <d v="2021-08-11T00:00:00"/>
    <s v="Drink"/>
    <x v="1"/>
    <x v="1"/>
    <x v="1"/>
    <x v="1"/>
    <x v="1"/>
    <x v="7"/>
    <x v="7"/>
    <x v="2"/>
    <n v="-5"/>
  </r>
  <r>
    <d v="2021-08-12T00:00:00"/>
    <s v="Fuel"/>
    <x v="130"/>
    <x v="1"/>
    <x v="15"/>
    <x v="3"/>
    <x v="1"/>
    <x v="7"/>
    <x v="7"/>
    <x v="3"/>
    <n v="-84.199999999999989"/>
  </r>
  <r>
    <d v="2021-08-12T00:00:00"/>
    <s v="Drink"/>
    <x v="1"/>
    <x v="1"/>
    <x v="1"/>
    <x v="1"/>
    <x v="1"/>
    <x v="7"/>
    <x v="7"/>
    <x v="3"/>
    <n v="-5"/>
  </r>
  <r>
    <d v="2021-08-13T00:00:00"/>
    <s v="Drink"/>
    <x v="1"/>
    <x v="1"/>
    <x v="1"/>
    <x v="1"/>
    <x v="1"/>
    <x v="7"/>
    <x v="7"/>
    <x v="4"/>
    <n v="-5"/>
  </r>
  <r>
    <d v="2021-08-14T00:00:00"/>
    <s v="Green's"/>
    <x v="131"/>
    <x v="1"/>
    <x v="4"/>
    <x v="2"/>
    <x v="1"/>
    <x v="7"/>
    <x v="7"/>
    <x v="5"/>
    <n v="-142.1"/>
  </r>
  <r>
    <d v="2021-08-14T00:00:00"/>
    <s v="Drink"/>
    <x v="1"/>
    <x v="1"/>
    <x v="1"/>
    <x v="1"/>
    <x v="1"/>
    <x v="7"/>
    <x v="7"/>
    <x v="5"/>
    <n v="-5"/>
  </r>
  <r>
    <d v="2021-08-15T00:00:00"/>
    <s v="Drink"/>
    <x v="1"/>
    <x v="1"/>
    <x v="1"/>
    <x v="1"/>
    <x v="1"/>
    <x v="7"/>
    <x v="7"/>
    <x v="6"/>
    <n v="-5"/>
  </r>
  <r>
    <d v="2021-08-15T00:00:00"/>
    <s v="Cinemas"/>
    <x v="51"/>
    <x v="1"/>
    <x v="6"/>
    <x v="4"/>
    <x v="1"/>
    <x v="7"/>
    <x v="7"/>
    <x v="6"/>
    <n v="-46.8"/>
  </r>
  <r>
    <d v="2021-08-15T00:00:00"/>
    <s v="Fashionistas"/>
    <x v="132"/>
    <x v="1"/>
    <x v="7"/>
    <x v="4"/>
    <x v="1"/>
    <x v="7"/>
    <x v="7"/>
    <x v="6"/>
    <n v="-104.70000000000002"/>
  </r>
  <r>
    <d v="2021-08-15T00:00:00"/>
    <s v="Burger"/>
    <x v="133"/>
    <x v="1"/>
    <x v="8"/>
    <x v="1"/>
    <x v="1"/>
    <x v="7"/>
    <x v="7"/>
    <x v="6"/>
    <n v="-59.1"/>
  </r>
  <r>
    <d v="2021-08-16T00:00:00"/>
    <s v="Uba"/>
    <x v="134"/>
    <x v="1"/>
    <x v="9"/>
    <x v="3"/>
    <x v="1"/>
    <x v="7"/>
    <x v="7"/>
    <x v="0"/>
    <n v="-35.1"/>
  </r>
  <r>
    <d v="2021-08-17T00:00:00"/>
    <s v="Onlne earning"/>
    <x v="0"/>
    <x v="3"/>
    <x v="10"/>
    <x v="5"/>
    <x v="0"/>
    <x v="7"/>
    <x v="7"/>
    <x v="1"/>
    <n v="800"/>
  </r>
  <r>
    <d v="2021-08-17T00:00:00"/>
    <s v="Drink"/>
    <x v="1"/>
    <x v="1"/>
    <x v="1"/>
    <x v="1"/>
    <x v="1"/>
    <x v="7"/>
    <x v="7"/>
    <x v="1"/>
    <n v="-5"/>
  </r>
  <r>
    <d v="2021-08-18T00:00:00"/>
    <s v="Drink"/>
    <x v="1"/>
    <x v="1"/>
    <x v="1"/>
    <x v="1"/>
    <x v="1"/>
    <x v="7"/>
    <x v="7"/>
    <x v="2"/>
    <n v="-5"/>
  </r>
  <r>
    <d v="2021-08-18T00:00:00"/>
    <s v="Phone"/>
    <x v="8"/>
    <x v="1"/>
    <x v="12"/>
    <x v="2"/>
    <x v="1"/>
    <x v="7"/>
    <x v="7"/>
    <x v="2"/>
    <n v="-40"/>
  </r>
  <r>
    <d v="2021-08-19T00:00:00"/>
    <s v="Sallah give away"/>
    <x v="44"/>
    <x v="1"/>
    <x v="13"/>
    <x v="4"/>
    <x v="1"/>
    <x v="7"/>
    <x v="7"/>
    <x v="3"/>
    <n v="-52.1"/>
  </r>
  <r>
    <d v="2021-08-19T00:00:00"/>
    <s v="Online streaming"/>
    <x v="33"/>
    <x v="1"/>
    <x v="6"/>
    <x v="4"/>
    <x v="1"/>
    <x v="7"/>
    <x v="7"/>
    <x v="3"/>
    <n v="-35"/>
  </r>
  <r>
    <d v="2021-08-19T00:00:00"/>
    <s v="Drink"/>
    <x v="1"/>
    <x v="1"/>
    <x v="1"/>
    <x v="1"/>
    <x v="1"/>
    <x v="7"/>
    <x v="7"/>
    <x v="3"/>
    <n v="-5"/>
  </r>
  <r>
    <d v="2021-08-20T00:00:00"/>
    <s v="Drink"/>
    <x v="1"/>
    <x v="1"/>
    <x v="1"/>
    <x v="1"/>
    <x v="1"/>
    <x v="7"/>
    <x v="7"/>
    <x v="4"/>
    <n v="-5"/>
  </r>
  <r>
    <d v="2021-08-21T00:00:00"/>
    <s v="Drink"/>
    <x v="1"/>
    <x v="1"/>
    <x v="1"/>
    <x v="1"/>
    <x v="1"/>
    <x v="7"/>
    <x v="7"/>
    <x v="5"/>
    <n v="-5"/>
  </r>
  <r>
    <d v="2021-08-21T00:00:00"/>
    <s v="Green's"/>
    <x v="135"/>
    <x v="1"/>
    <x v="4"/>
    <x v="2"/>
    <x v="1"/>
    <x v="7"/>
    <x v="7"/>
    <x v="5"/>
    <n v="-177"/>
  </r>
  <r>
    <d v="2021-08-22T00:00:00"/>
    <s v="Suya"/>
    <x v="136"/>
    <x v="1"/>
    <x v="8"/>
    <x v="1"/>
    <x v="1"/>
    <x v="7"/>
    <x v="7"/>
    <x v="6"/>
    <n v="-44.2"/>
  </r>
  <r>
    <d v="2021-08-23T00:00:00"/>
    <s v="Oha soup/White soup"/>
    <x v="137"/>
    <x v="1"/>
    <x v="8"/>
    <x v="1"/>
    <x v="1"/>
    <x v="7"/>
    <x v="7"/>
    <x v="0"/>
    <n v="-19.2"/>
  </r>
  <r>
    <d v="2021-08-24T00:00:00"/>
    <s v="Orphanage"/>
    <x v="17"/>
    <x v="1"/>
    <x v="14"/>
    <x v="6"/>
    <x v="1"/>
    <x v="7"/>
    <x v="7"/>
    <x v="1"/>
    <n v="-55"/>
  </r>
  <r>
    <d v="2021-08-24T00:00:00"/>
    <s v="Fuel"/>
    <x v="138"/>
    <x v="1"/>
    <x v="15"/>
    <x v="3"/>
    <x v="1"/>
    <x v="7"/>
    <x v="7"/>
    <x v="1"/>
    <n v="-69.700000000000017"/>
  </r>
  <r>
    <d v="2021-08-24T00:00:00"/>
    <s v="Drink"/>
    <x v="1"/>
    <x v="1"/>
    <x v="1"/>
    <x v="1"/>
    <x v="1"/>
    <x v="7"/>
    <x v="7"/>
    <x v="1"/>
    <n v="-5"/>
  </r>
  <r>
    <d v="2021-08-25T00:00:00"/>
    <s v="Drink"/>
    <x v="1"/>
    <x v="1"/>
    <x v="1"/>
    <x v="1"/>
    <x v="1"/>
    <x v="7"/>
    <x v="7"/>
    <x v="2"/>
    <n v="-5"/>
  </r>
  <r>
    <d v="2021-08-26T00:00:00"/>
    <s v="Drink"/>
    <x v="1"/>
    <x v="1"/>
    <x v="1"/>
    <x v="1"/>
    <x v="1"/>
    <x v="7"/>
    <x v="7"/>
    <x v="3"/>
    <n v="-5"/>
  </r>
  <r>
    <d v="2021-08-27T00:00:00"/>
    <s v="Drink"/>
    <x v="1"/>
    <x v="1"/>
    <x v="1"/>
    <x v="1"/>
    <x v="1"/>
    <x v="7"/>
    <x v="7"/>
    <x v="4"/>
    <n v="-5"/>
  </r>
  <r>
    <d v="2021-08-28T00:00:00"/>
    <s v="Drink"/>
    <x v="1"/>
    <x v="1"/>
    <x v="1"/>
    <x v="1"/>
    <x v="1"/>
    <x v="7"/>
    <x v="7"/>
    <x v="5"/>
    <n v="-5"/>
  </r>
  <r>
    <d v="2021-08-28T00:00:00"/>
    <s v="Green's"/>
    <x v="139"/>
    <x v="1"/>
    <x v="4"/>
    <x v="2"/>
    <x v="1"/>
    <x v="7"/>
    <x v="7"/>
    <x v="5"/>
    <n v="-117"/>
  </r>
  <r>
    <d v="2021-08-29T00:00:00"/>
    <s v="Trainers"/>
    <x v="140"/>
    <x v="1"/>
    <x v="7"/>
    <x v="4"/>
    <x v="1"/>
    <x v="7"/>
    <x v="7"/>
    <x v="6"/>
    <n v="-131.9"/>
  </r>
  <r>
    <d v="2021-08-29T00:00:00"/>
    <s v="Hangingout/Ticket"/>
    <x v="141"/>
    <x v="1"/>
    <x v="6"/>
    <x v="4"/>
    <x v="1"/>
    <x v="7"/>
    <x v="7"/>
    <x v="6"/>
    <n v="-182.39999999999998"/>
  </r>
  <r>
    <d v="2021-08-30T00:00:00"/>
    <s v="Fashionistas"/>
    <x v="142"/>
    <x v="1"/>
    <x v="7"/>
    <x v="4"/>
    <x v="1"/>
    <x v="7"/>
    <x v="7"/>
    <x v="0"/>
    <n v="-152.29999999999998"/>
  </r>
  <r>
    <d v="2021-08-30T00:00:00"/>
    <s v="Uba"/>
    <x v="143"/>
    <x v="1"/>
    <x v="9"/>
    <x v="3"/>
    <x v="1"/>
    <x v="7"/>
    <x v="7"/>
    <x v="0"/>
    <n v="-30.300000000000004"/>
  </r>
  <r>
    <d v="2021-08-30T00:00:00"/>
    <s v="Foodary"/>
    <x v="61"/>
    <x v="1"/>
    <x v="8"/>
    <x v="1"/>
    <x v="1"/>
    <x v="7"/>
    <x v="7"/>
    <x v="0"/>
    <n v="-15"/>
  </r>
  <r>
    <d v="2021-08-31T00:00:00"/>
    <s v="Drink"/>
    <x v="1"/>
    <x v="1"/>
    <x v="1"/>
    <x v="1"/>
    <x v="1"/>
    <x v="7"/>
    <x v="7"/>
    <x v="1"/>
    <n v="-5"/>
  </r>
  <r>
    <d v="2021-09-02T00:00:00"/>
    <s v="Drink"/>
    <x v="1"/>
    <x v="1"/>
    <x v="1"/>
    <x v="1"/>
    <x v="1"/>
    <x v="8"/>
    <x v="8"/>
    <x v="3"/>
    <n v="-5"/>
  </r>
  <r>
    <d v="2021-09-02T00:00:00"/>
    <s v="Data With Decision"/>
    <x v="0"/>
    <x v="0"/>
    <x v="0"/>
    <x v="0"/>
    <x v="0"/>
    <x v="8"/>
    <x v="8"/>
    <x v="3"/>
    <n v="5000"/>
  </r>
  <r>
    <d v="2021-09-03T00:00:00"/>
    <s v="Drink"/>
    <x v="1"/>
    <x v="1"/>
    <x v="1"/>
    <x v="1"/>
    <x v="1"/>
    <x v="8"/>
    <x v="8"/>
    <x v="4"/>
    <n v="-5"/>
  </r>
  <r>
    <d v="2021-09-05T00:00:00"/>
    <s v="Estate Mangement"/>
    <x v="2"/>
    <x v="1"/>
    <x v="2"/>
    <x v="2"/>
    <x v="1"/>
    <x v="8"/>
    <x v="8"/>
    <x v="6"/>
    <n v="-900"/>
  </r>
  <r>
    <d v="2021-09-05T00:00:00"/>
    <s v="Financail upgrade"/>
    <x v="3"/>
    <x v="1"/>
    <x v="3"/>
    <x v="3"/>
    <x v="1"/>
    <x v="8"/>
    <x v="8"/>
    <x v="6"/>
    <n v="-150"/>
  </r>
  <r>
    <d v="2021-09-05T00:00:00"/>
    <s v="Drink"/>
    <x v="1"/>
    <x v="1"/>
    <x v="1"/>
    <x v="1"/>
    <x v="1"/>
    <x v="8"/>
    <x v="8"/>
    <x v="6"/>
    <n v="-5"/>
  </r>
  <r>
    <d v="2021-09-05T00:00:00"/>
    <s v="Drink"/>
    <x v="1"/>
    <x v="1"/>
    <x v="1"/>
    <x v="1"/>
    <x v="1"/>
    <x v="8"/>
    <x v="8"/>
    <x v="6"/>
    <n v="-5"/>
  </r>
  <r>
    <d v="2021-09-06T00:00:00"/>
    <s v="Drink"/>
    <x v="1"/>
    <x v="1"/>
    <x v="1"/>
    <x v="1"/>
    <x v="1"/>
    <x v="8"/>
    <x v="8"/>
    <x v="0"/>
    <n v="-5"/>
  </r>
  <r>
    <d v="2021-09-07T00:00:00"/>
    <s v="Drink"/>
    <x v="1"/>
    <x v="1"/>
    <x v="1"/>
    <x v="1"/>
    <x v="1"/>
    <x v="8"/>
    <x v="8"/>
    <x v="1"/>
    <n v="-5"/>
  </r>
  <r>
    <d v="2021-09-07T00:00:00"/>
    <s v="Green's"/>
    <x v="144"/>
    <x v="1"/>
    <x v="4"/>
    <x v="2"/>
    <x v="1"/>
    <x v="8"/>
    <x v="8"/>
    <x v="1"/>
    <n v="-163.39999999999998"/>
  </r>
  <r>
    <d v="2021-09-10T00:00:00"/>
    <s v="Power source"/>
    <x v="145"/>
    <x v="1"/>
    <x v="5"/>
    <x v="2"/>
    <x v="1"/>
    <x v="8"/>
    <x v="8"/>
    <x v="4"/>
    <n v="-58.1"/>
  </r>
  <r>
    <d v="2021-09-10T00:00:00"/>
    <s v="Drink"/>
    <x v="1"/>
    <x v="1"/>
    <x v="1"/>
    <x v="1"/>
    <x v="1"/>
    <x v="8"/>
    <x v="8"/>
    <x v="4"/>
    <n v="-5"/>
  </r>
  <r>
    <d v="2021-09-11T00:00:00"/>
    <s v="Drink"/>
    <x v="1"/>
    <x v="1"/>
    <x v="1"/>
    <x v="1"/>
    <x v="1"/>
    <x v="8"/>
    <x v="8"/>
    <x v="5"/>
    <n v="-5"/>
  </r>
  <r>
    <d v="2021-09-12T00:00:00"/>
    <s v="Fuel"/>
    <x v="146"/>
    <x v="1"/>
    <x v="15"/>
    <x v="3"/>
    <x v="1"/>
    <x v="8"/>
    <x v="8"/>
    <x v="6"/>
    <n v="-85.299999999999983"/>
  </r>
  <r>
    <d v="2021-09-12T00:00:00"/>
    <s v="Drink"/>
    <x v="1"/>
    <x v="1"/>
    <x v="1"/>
    <x v="1"/>
    <x v="1"/>
    <x v="8"/>
    <x v="8"/>
    <x v="6"/>
    <n v="-5"/>
  </r>
  <r>
    <d v="2021-09-13T00:00:00"/>
    <s v="Drink"/>
    <x v="1"/>
    <x v="1"/>
    <x v="1"/>
    <x v="1"/>
    <x v="1"/>
    <x v="8"/>
    <x v="8"/>
    <x v="0"/>
    <n v="-5"/>
  </r>
  <r>
    <d v="2021-09-14T00:00:00"/>
    <s v="Green's"/>
    <x v="147"/>
    <x v="1"/>
    <x v="4"/>
    <x v="2"/>
    <x v="1"/>
    <x v="8"/>
    <x v="8"/>
    <x v="1"/>
    <n v="-143"/>
  </r>
  <r>
    <d v="2021-09-14T00:00:00"/>
    <s v="Drink"/>
    <x v="1"/>
    <x v="1"/>
    <x v="1"/>
    <x v="1"/>
    <x v="1"/>
    <x v="8"/>
    <x v="8"/>
    <x v="1"/>
    <n v="-5"/>
  </r>
  <r>
    <d v="2021-09-15T00:00:00"/>
    <s v="Drink"/>
    <x v="1"/>
    <x v="1"/>
    <x v="1"/>
    <x v="1"/>
    <x v="1"/>
    <x v="8"/>
    <x v="8"/>
    <x v="2"/>
    <n v="-5"/>
  </r>
  <r>
    <d v="2021-09-15T00:00:00"/>
    <s v="Cinemas"/>
    <x v="148"/>
    <x v="1"/>
    <x v="6"/>
    <x v="4"/>
    <x v="1"/>
    <x v="8"/>
    <x v="8"/>
    <x v="2"/>
    <n v="-47.8"/>
  </r>
  <r>
    <d v="2021-09-15T00:00:00"/>
    <s v="Fashionistas"/>
    <x v="149"/>
    <x v="1"/>
    <x v="7"/>
    <x v="4"/>
    <x v="1"/>
    <x v="8"/>
    <x v="8"/>
    <x v="2"/>
    <n v="-105.80000000000001"/>
  </r>
  <r>
    <d v="2021-09-15T00:00:00"/>
    <s v="Burger"/>
    <x v="150"/>
    <x v="1"/>
    <x v="8"/>
    <x v="1"/>
    <x v="1"/>
    <x v="8"/>
    <x v="8"/>
    <x v="2"/>
    <n v="-60.1"/>
  </r>
  <r>
    <d v="2021-09-16T00:00:00"/>
    <s v="Uba"/>
    <x v="151"/>
    <x v="1"/>
    <x v="9"/>
    <x v="3"/>
    <x v="1"/>
    <x v="8"/>
    <x v="8"/>
    <x v="3"/>
    <n v="-36.200000000000003"/>
  </r>
  <r>
    <d v="2021-09-17T00:00:00"/>
    <s v="Onlne earning"/>
    <x v="0"/>
    <x v="6"/>
    <x v="10"/>
    <x v="5"/>
    <x v="0"/>
    <x v="8"/>
    <x v="8"/>
    <x v="4"/>
    <n v="100"/>
  </r>
  <r>
    <d v="2021-09-17T00:00:00"/>
    <s v="Drink"/>
    <x v="1"/>
    <x v="1"/>
    <x v="1"/>
    <x v="1"/>
    <x v="1"/>
    <x v="8"/>
    <x v="8"/>
    <x v="4"/>
    <n v="-5"/>
  </r>
  <r>
    <d v="2021-09-18T00:00:00"/>
    <s v="Drink"/>
    <x v="1"/>
    <x v="1"/>
    <x v="1"/>
    <x v="1"/>
    <x v="1"/>
    <x v="8"/>
    <x v="8"/>
    <x v="5"/>
    <n v="-5"/>
  </r>
  <r>
    <d v="2021-09-18T00:00:00"/>
    <s v="Phone"/>
    <x v="8"/>
    <x v="1"/>
    <x v="12"/>
    <x v="2"/>
    <x v="1"/>
    <x v="8"/>
    <x v="8"/>
    <x v="5"/>
    <n v="-40"/>
  </r>
  <r>
    <d v="2021-09-19T00:00:00"/>
    <s v="Sallah give away"/>
    <x v="30"/>
    <x v="1"/>
    <x v="13"/>
    <x v="4"/>
    <x v="1"/>
    <x v="8"/>
    <x v="8"/>
    <x v="6"/>
    <n v="-53"/>
  </r>
  <r>
    <d v="2021-09-19T00:00:00"/>
    <s v="Online streaming"/>
    <x v="33"/>
    <x v="1"/>
    <x v="6"/>
    <x v="4"/>
    <x v="1"/>
    <x v="8"/>
    <x v="8"/>
    <x v="6"/>
    <n v="-35"/>
  </r>
  <r>
    <d v="2021-09-19T00:00:00"/>
    <s v="Drink"/>
    <x v="1"/>
    <x v="1"/>
    <x v="1"/>
    <x v="1"/>
    <x v="1"/>
    <x v="8"/>
    <x v="8"/>
    <x v="6"/>
    <n v="-5"/>
  </r>
  <r>
    <d v="2021-09-20T00:00:00"/>
    <s v="Drink"/>
    <x v="1"/>
    <x v="1"/>
    <x v="1"/>
    <x v="1"/>
    <x v="1"/>
    <x v="8"/>
    <x v="8"/>
    <x v="0"/>
    <n v="-5"/>
  </r>
  <r>
    <d v="2021-09-21T00:00:00"/>
    <s v="Drink"/>
    <x v="1"/>
    <x v="1"/>
    <x v="1"/>
    <x v="1"/>
    <x v="1"/>
    <x v="8"/>
    <x v="8"/>
    <x v="1"/>
    <n v="-5"/>
  </r>
  <r>
    <d v="2021-09-21T00:00:00"/>
    <s v="Green's"/>
    <x v="152"/>
    <x v="1"/>
    <x v="4"/>
    <x v="2"/>
    <x v="1"/>
    <x v="8"/>
    <x v="8"/>
    <x v="1"/>
    <n v="-177.9"/>
  </r>
  <r>
    <d v="2021-09-22T00:00:00"/>
    <s v="Suya"/>
    <x v="153"/>
    <x v="1"/>
    <x v="8"/>
    <x v="1"/>
    <x v="1"/>
    <x v="8"/>
    <x v="8"/>
    <x v="2"/>
    <n v="-45.300000000000004"/>
  </r>
  <r>
    <d v="2021-09-23T00:00:00"/>
    <s v="Oha soup/White soup"/>
    <x v="154"/>
    <x v="1"/>
    <x v="8"/>
    <x v="1"/>
    <x v="1"/>
    <x v="8"/>
    <x v="8"/>
    <x v="3"/>
    <n v="-20.099999999999998"/>
  </r>
  <r>
    <d v="2021-09-24T00:00:00"/>
    <s v="Orphanage"/>
    <x v="17"/>
    <x v="1"/>
    <x v="14"/>
    <x v="6"/>
    <x v="1"/>
    <x v="8"/>
    <x v="8"/>
    <x v="4"/>
    <n v="-55"/>
  </r>
  <r>
    <d v="2021-09-24T00:00:00"/>
    <s v="Fuel"/>
    <x v="155"/>
    <x v="1"/>
    <x v="15"/>
    <x v="3"/>
    <x v="1"/>
    <x v="8"/>
    <x v="8"/>
    <x v="4"/>
    <n v="-70.600000000000023"/>
  </r>
  <r>
    <d v="2021-09-24T00:00:00"/>
    <s v="Drink"/>
    <x v="1"/>
    <x v="1"/>
    <x v="1"/>
    <x v="1"/>
    <x v="1"/>
    <x v="8"/>
    <x v="8"/>
    <x v="4"/>
    <n v="-5"/>
  </r>
  <r>
    <d v="2021-09-25T00:00:00"/>
    <s v="Drink"/>
    <x v="1"/>
    <x v="1"/>
    <x v="1"/>
    <x v="1"/>
    <x v="1"/>
    <x v="8"/>
    <x v="8"/>
    <x v="5"/>
    <n v="-5"/>
  </r>
  <r>
    <d v="2021-09-26T00:00:00"/>
    <s v="Drink"/>
    <x v="1"/>
    <x v="1"/>
    <x v="1"/>
    <x v="1"/>
    <x v="1"/>
    <x v="8"/>
    <x v="8"/>
    <x v="6"/>
    <n v="-5"/>
  </r>
  <r>
    <d v="2021-09-27T00:00:00"/>
    <s v="Drink"/>
    <x v="1"/>
    <x v="1"/>
    <x v="1"/>
    <x v="1"/>
    <x v="1"/>
    <x v="8"/>
    <x v="8"/>
    <x v="0"/>
    <n v="-5"/>
  </r>
  <r>
    <d v="2021-09-28T00:00:00"/>
    <s v="Drink"/>
    <x v="1"/>
    <x v="1"/>
    <x v="1"/>
    <x v="1"/>
    <x v="1"/>
    <x v="8"/>
    <x v="8"/>
    <x v="1"/>
    <n v="-5"/>
  </r>
  <r>
    <d v="2021-09-28T00:00:00"/>
    <s v="Green's"/>
    <x v="156"/>
    <x v="1"/>
    <x v="4"/>
    <x v="2"/>
    <x v="1"/>
    <x v="8"/>
    <x v="8"/>
    <x v="1"/>
    <n v="-223"/>
  </r>
  <r>
    <d v="2021-09-29T00:00:00"/>
    <s v="Trainers"/>
    <x v="157"/>
    <x v="1"/>
    <x v="7"/>
    <x v="4"/>
    <x v="1"/>
    <x v="8"/>
    <x v="8"/>
    <x v="2"/>
    <n v="-132.9"/>
  </r>
  <r>
    <d v="2021-09-29T00:00:00"/>
    <s v="Global Fashion"/>
    <x v="21"/>
    <x v="1"/>
    <x v="7"/>
    <x v="4"/>
    <x v="1"/>
    <x v="8"/>
    <x v="8"/>
    <x v="2"/>
    <n v="-175"/>
  </r>
  <r>
    <d v="2021-09-30T00:00:00"/>
    <s v="Fashionistas"/>
    <x v="158"/>
    <x v="1"/>
    <x v="7"/>
    <x v="4"/>
    <x v="1"/>
    <x v="8"/>
    <x v="8"/>
    <x v="3"/>
    <n v="-153.39999999999998"/>
  </r>
  <r>
    <d v="2021-09-30T00:00:00"/>
    <s v="Uba"/>
    <x v="159"/>
    <x v="1"/>
    <x v="9"/>
    <x v="3"/>
    <x v="1"/>
    <x v="8"/>
    <x v="8"/>
    <x v="3"/>
    <n v="-31.200000000000003"/>
  </r>
  <r>
    <d v="2021-09-30T00:00:00"/>
    <s v="Foodary"/>
    <x v="61"/>
    <x v="1"/>
    <x v="8"/>
    <x v="1"/>
    <x v="1"/>
    <x v="8"/>
    <x v="8"/>
    <x v="3"/>
    <n v="-15"/>
  </r>
  <r>
    <d v="2021-10-01T00:00:00"/>
    <s v="Drink"/>
    <x v="1"/>
    <x v="1"/>
    <x v="1"/>
    <x v="1"/>
    <x v="1"/>
    <x v="9"/>
    <x v="9"/>
    <x v="4"/>
    <n v="-5"/>
  </r>
  <r>
    <d v="2021-10-03T00:00:00"/>
    <s v="Drink"/>
    <x v="1"/>
    <x v="1"/>
    <x v="1"/>
    <x v="1"/>
    <x v="1"/>
    <x v="9"/>
    <x v="9"/>
    <x v="6"/>
    <n v="-5"/>
  </r>
  <r>
    <d v="2021-10-03T00:00:00"/>
    <s v="Data With Decision"/>
    <x v="0"/>
    <x v="0"/>
    <x v="0"/>
    <x v="0"/>
    <x v="0"/>
    <x v="9"/>
    <x v="9"/>
    <x v="6"/>
    <n v="5000"/>
  </r>
  <r>
    <d v="2021-10-04T00:00:00"/>
    <s v="Drink"/>
    <x v="1"/>
    <x v="1"/>
    <x v="1"/>
    <x v="1"/>
    <x v="1"/>
    <x v="9"/>
    <x v="9"/>
    <x v="0"/>
    <n v="-5"/>
  </r>
  <r>
    <d v="2021-10-06T00:00:00"/>
    <s v="Estate Mangement"/>
    <x v="2"/>
    <x v="1"/>
    <x v="2"/>
    <x v="2"/>
    <x v="1"/>
    <x v="9"/>
    <x v="9"/>
    <x v="2"/>
    <n v="-900"/>
  </r>
  <r>
    <d v="2021-10-06T00:00:00"/>
    <s v="Financail upgrade"/>
    <x v="3"/>
    <x v="1"/>
    <x v="3"/>
    <x v="3"/>
    <x v="1"/>
    <x v="9"/>
    <x v="9"/>
    <x v="2"/>
    <n v="-150"/>
  </r>
  <r>
    <d v="2021-10-06T00:00:00"/>
    <s v="Drink"/>
    <x v="1"/>
    <x v="1"/>
    <x v="1"/>
    <x v="1"/>
    <x v="1"/>
    <x v="9"/>
    <x v="9"/>
    <x v="2"/>
    <n v="-5"/>
  </r>
  <r>
    <d v="2021-10-06T00:00:00"/>
    <s v="Drink"/>
    <x v="1"/>
    <x v="1"/>
    <x v="1"/>
    <x v="1"/>
    <x v="1"/>
    <x v="9"/>
    <x v="9"/>
    <x v="2"/>
    <n v="-5"/>
  </r>
  <r>
    <d v="2021-10-07T00:00:00"/>
    <s v="Drink"/>
    <x v="1"/>
    <x v="1"/>
    <x v="1"/>
    <x v="1"/>
    <x v="1"/>
    <x v="9"/>
    <x v="9"/>
    <x v="3"/>
    <n v="-5"/>
  </r>
  <r>
    <d v="2021-10-08T00:00:00"/>
    <s v="Drink"/>
    <x v="1"/>
    <x v="1"/>
    <x v="1"/>
    <x v="1"/>
    <x v="1"/>
    <x v="9"/>
    <x v="9"/>
    <x v="4"/>
    <n v="-5"/>
  </r>
  <r>
    <d v="2021-10-08T00:00:00"/>
    <s v="Green's"/>
    <x v="160"/>
    <x v="1"/>
    <x v="4"/>
    <x v="2"/>
    <x v="1"/>
    <x v="9"/>
    <x v="9"/>
    <x v="4"/>
    <n v="-105"/>
  </r>
  <r>
    <d v="2021-10-11T00:00:00"/>
    <s v="Power source"/>
    <x v="161"/>
    <x v="1"/>
    <x v="5"/>
    <x v="2"/>
    <x v="1"/>
    <x v="9"/>
    <x v="9"/>
    <x v="0"/>
    <n v="-59"/>
  </r>
  <r>
    <d v="2021-10-11T00:00:00"/>
    <s v="Drink"/>
    <x v="1"/>
    <x v="1"/>
    <x v="1"/>
    <x v="1"/>
    <x v="1"/>
    <x v="9"/>
    <x v="9"/>
    <x v="0"/>
    <n v="-5"/>
  </r>
  <r>
    <d v="2021-10-12T00:00:00"/>
    <s v="Drink"/>
    <x v="1"/>
    <x v="1"/>
    <x v="1"/>
    <x v="1"/>
    <x v="1"/>
    <x v="9"/>
    <x v="9"/>
    <x v="1"/>
    <n v="-5"/>
  </r>
  <r>
    <d v="2021-10-13T00:00:00"/>
    <s v="Fuel"/>
    <x v="162"/>
    <x v="1"/>
    <x v="15"/>
    <x v="3"/>
    <x v="1"/>
    <x v="9"/>
    <x v="9"/>
    <x v="2"/>
    <n v="-86.399999999999977"/>
  </r>
  <r>
    <d v="2021-10-13T00:00:00"/>
    <s v="Drink"/>
    <x v="1"/>
    <x v="1"/>
    <x v="1"/>
    <x v="1"/>
    <x v="1"/>
    <x v="9"/>
    <x v="9"/>
    <x v="2"/>
    <n v="-5"/>
  </r>
  <r>
    <d v="2021-10-14T00:00:00"/>
    <s v="Drink"/>
    <x v="1"/>
    <x v="1"/>
    <x v="1"/>
    <x v="1"/>
    <x v="1"/>
    <x v="9"/>
    <x v="9"/>
    <x v="3"/>
    <n v="-5"/>
  </r>
  <r>
    <d v="2021-10-15T00:00:00"/>
    <s v="Green's"/>
    <x v="163"/>
    <x v="1"/>
    <x v="4"/>
    <x v="2"/>
    <x v="1"/>
    <x v="9"/>
    <x v="9"/>
    <x v="4"/>
    <n v="-143.9"/>
  </r>
  <r>
    <d v="2021-10-15T00:00:00"/>
    <s v="Drink"/>
    <x v="1"/>
    <x v="1"/>
    <x v="1"/>
    <x v="1"/>
    <x v="1"/>
    <x v="9"/>
    <x v="9"/>
    <x v="4"/>
    <n v="-5"/>
  </r>
  <r>
    <d v="2021-10-16T00:00:00"/>
    <s v="Drink"/>
    <x v="1"/>
    <x v="1"/>
    <x v="1"/>
    <x v="1"/>
    <x v="1"/>
    <x v="9"/>
    <x v="9"/>
    <x v="5"/>
    <n v="-5"/>
  </r>
  <r>
    <d v="2021-10-16T00:00:00"/>
    <s v="Cinemas"/>
    <x v="164"/>
    <x v="1"/>
    <x v="6"/>
    <x v="4"/>
    <x v="1"/>
    <x v="9"/>
    <x v="9"/>
    <x v="5"/>
    <n v="-48.8"/>
  </r>
  <r>
    <d v="2021-10-16T00:00:00"/>
    <s v="Fashionistas"/>
    <x v="165"/>
    <x v="1"/>
    <x v="7"/>
    <x v="4"/>
    <x v="1"/>
    <x v="9"/>
    <x v="9"/>
    <x v="5"/>
    <n v="-106.70000000000002"/>
  </r>
  <r>
    <d v="2021-10-16T00:00:00"/>
    <s v="Burger"/>
    <x v="166"/>
    <x v="1"/>
    <x v="8"/>
    <x v="1"/>
    <x v="1"/>
    <x v="9"/>
    <x v="9"/>
    <x v="5"/>
    <n v="-61.1"/>
  </r>
  <r>
    <d v="2021-10-17T00:00:00"/>
    <s v="Uba"/>
    <x v="167"/>
    <x v="1"/>
    <x v="9"/>
    <x v="3"/>
    <x v="1"/>
    <x v="9"/>
    <x v="9"/>
    <x v="6"/>
    <n v="-37.200000000000003"/>
  </r>
  <r>
    <d v="2021-10-18T00:00:00"/>
    <s v="Onlne earning"/>
    <x v="0"/>
    <x v="6"/>
    <x v="10"/>
    <x v="5"/>
    <x v="0"/>
    <x v="9"/>
    <x v="9"/>
    <x v="0"/>
    <n v="100"/>
  </r>
  <r>
    <d v="2021-10-18T00:00:00"/>
    <s v="Drink"/>
    <x v="1"/>
    <x v="1"/>
    <x v="1"/>
    <x v="1"/>
    <x v="1"/>
    <x v="9"/>
    <x v="9"/>
    <x v="0"/>
    <n v="-5"/>
  </r>
  <r>
    <d v="2021-10-19T00:00:00"/>
    <s v="Drink"/>
    <x v="1"/>
    <x v="1"/>
    <x v="1"/>
    <x v="1"/>
    <x v="1"/>
    <x v="9"/>
    <x v="9"/>
    <x v="1"/>
    <n v="-5"/>
  </r>
  <r>
    <d v="2021-10-19T00:00:00"/>
    <s v="Taken medication"/>
    <x v="50"/>
    <x v="1"/>
    <x v="16"/>
    <x v="7"/>
    <x v="1"/>
    <x v="9"/>
    <x v="9"/>
    <x v="1"/>
    <n v="-75"/>
  </r>
  <r>
    <d v="2021-10-19T00:00:00"/>
    <s v="Phone"/>
    <x v="8"/>
    <x v="1"/>
    <x v="12"/>
    <x v="2"/>
    <x v="1"/>
    <x v="9"/>
    <x v="9"/>
    <x v="1"/>
    <n v="-40"/>
  </r>
  <r>
    <d v="2021-10-20T00:00:00"/>
    <s v="Sallah give away"/>
    <x v="79"/>
    <x v="1"/>
    <x v="13"/>
    <x v="4"/>
    <x v="1"/>
    <x v="9"/>
    <x v="9"/>
    <x v="2"/>
    <n v="-54.1"/>
  </r>
  <r>
    <d v="2021-10-20T00:00:00"/>
    <s v="Online streaming"/>
    <x v="33"/>
    <x v="1"/>
    <x v="6"/>
    <x v="4"/>
    <x v="1"/>
    <x v="9"/>
    <x v="9"/>
    <x v="2"/>
    <n v="-35"/>
  </r>
  <r>
    <d v="2021-10-20T00:00:00"/>
    <s v="Drink"/>
    <x v="1"/>
    <x v="1"/>
    <x v="1"/>
    <x v="1"/>
    <x v="1"/>
    <x v="9"/>
    <x v="9"/>
    <x v="2"/>
    <n v="-5"/>
  </r>
  <r>
    <d v="2021-10-21T00:00:00"/>
    <s v="Drink"/>
    <x v="1"/>
    <x v="1"/>
    <x v="1"/>
    <x v="1"/>
    <x v="1"/>
    <x v="9"/>
    <x v="9"/>
    <x v="3"/>
    <n v="-5"/>
  </r>
  <r>
    <d v="2021-10-22T00:00:00"/>
    <s v="Drink"/>
    <x v="1"/>
    <x v="1"/>
    <x v="1"/>
    <x v="1"/>
    <x v="1"/>
    <x v="9"/>
    <x v="9"/>
    <x v="4"/>
    <n v="-5"/>
  </r>
  <r>
    <d v="2021-10-22T00:00:00"/>
    <s v="Green's"/>
    <x v="168"/>
    <x v="1"/>
    <x v="4"/>
    <x v="2"/>
    <x v="1"/>
    <x v="9"/>
    <x v="9"/>
    <x v="4"/>
    <n v="-178.9"/>
  </r>
  <r>
    <d v="2021-10-23T00:00:00"/>
    <s v="Suya"/>
    <x v="169"/>
    <x v="1"/>
    <x v="8"/>
    <x v="1"/>
    <x v="1"/>
    <x v="9"/>
    <x v="9"/>
    <x v="5"/>
    <n v="-46.2"/>
  </r>
  <r>
    <d v="2021-10-24T00:00:00"/>
    <s v="Oha soup/White soup"/>
    <x v="170"/>
    <x v="1"/>
    <x v="8"/>
    <x v="1"/>
    <x v="1"/>
    <x v="9"/>
    <x v="9"/>
    <x v="6"/>
    <n v="-21.099999999999998"/>
  </r>
  <r>
    <d v="2021-10-25T00:00:00"/>
    <s v="Orphanage"/>
    <x v="17"/>
    <x v="1"/>
    <x v="14"/>
    <x v="6"/>
    <x v="1"/>
    <x v="9"/>
    <x v="9"/>
    <x v="0"/>
    <n v="-55"/>
  </r>
  <r>
    <d v="2021-10-25T00:00:00"/>
    <s v="Fuel"/>
    <x v="171"/>
    <x v="1"/>
    <x v="15"/>
    <x v="3"/>
    <x v="1"/>
    <x v="9"/>
    <x v="9"/>
    <x v="0"/>
    <n v="-71.500000000000028"/>
  </r>
  <r>
    <d v="2021-10-25T00:00:00"/>
    <s v="Drink"/>
    <x v="1"/>
    <x v="1"/>
    <x v="1"/>
    <x v="1"/>
    <x v="1"/>
    <x v="9"/>
    <x v="9"/>
    <x v="0"/>
    <n v="-5"/>
  </r>
  <r>
    <d v="2021-10-26T00:00:00"/>
    <s v="Drink"/>
    <x v="1"/>
    <x v="1"/>
    <x v="1"/>
    <x v="1"/>
    <x v="1"/>
    <x v="9"/>
    <x v="9"/>
    <x v="1"/>
    <n v="-5"/>
  </r>
  <r>
    <d v="2021-10-27T00:00:00"/>
    <s v="Drink"/>
    <x v="1"/>
    <x v="1"/>
    <x v="1"/>
    <x v="1"/>
    <x v="1"/>
    <x v="9"/>
    <x v="9"/>
    <x v="2"/>
    <n v="-5"/>
  </r>
  <r>
    <d v="2021-10-28T00:00:00"/>
    <s v="Drink"/>
    <x v="1"/>
    <x v="1"/>
    <x v="1"/>
    <x v="1"/>
    <x v="1"/>
    <x v="9"/>
    <x v="9"/>
    <x v="3"/>
    <n v="-5"/>
  </r>
  <r>
    <d v="2021-10-29T00:00:00"/>
    <s v="Drink"/>
    <x v="1"/>
    <x v="1"/>
    <x v="1"/>
    <x v="1"/>
    <x v="1"/>
    <x v="9"/>
    <x v="9"/>
    <x v="4"/>
    <n v="-5"/>
  </r>
  <r>
    <d v="2021-10-29T00:00:00"/>
    <s v="Green's"/>
    <x v="172"/>
    <x v="1"/>
    <x v="4"/>
    <x v="2"/>
    <x v="1"/>
    <x v="9"/>
    <x v="9"/>
    <x v="4"/>
    <n v="-189"/>
  </r>
  <r>
    <d v="2021-10-30T00:00:00"/>
    <s v="Trainers"/>
    <x v="173"/>
    <x v="1"/>
    <x v="7"/>
    <x v="4"/>
    <x v="1"/>
    <x v="9"/>
    <x v="9"/>
    <x v="5"/>
    <n v="-133.80000000000001"/>
  </r>
  <r>
    <d v="2021-10-30T00:00:00"/>
    <s v="Hangingout/Ticket"/>
    <x v="174"/>
    <x v="1"/>
    <x v="6"/>
    <x v="4"/>
    <x v="1"/>
    <x v="9"/>
    <x v="9"/>
    <x v="5"/>
    <n v="-184.39999999999998"/>
  </r>
  <r>
    <d v="2021-10-31T00:00:00"/>
    <s v="Fashionistas"/>
    <x v="175"/>
    <x v="1"/>
    <x v="7"/>
    <x v="4"/>
    <x v="1"/>
    <x v="9"/>
    <x v="9"/>
    <x v="6"/>
    <n v="-154.49999999999997"/>
  </r>
  <r>
    <d v="2021-10-31T00:00:00"/>
    <s v="Uba"/>
    <x v="176"/>
    <x v="1"/>
    <x v="9"/>
    <x v="3"/>
    <x v="1"/>
    <x v="9"/>
    <x v="9"/>
    <x v="6"/>
    <n v="-32.1"/>
  </r>
  <r>
    <d v="2021-10-31T00:00:00"/>
    <s v="Foodary"/>
    <x v="61"/>
    <x v="1"/>
    <x v="8"/>
    <x v="1"/>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E1B84-6AB0-4101-A1B3-EFD646DFAE47}"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I3:J14" firstHeaderRow="1" firstDataRow="1" firstDataCol="1"/>
  <pivotFields count="11">
    <pivotField numFmtId="14" showAll="0"/>
    <pivotField showAll="0"/>
    <pivotField showAll="0"/>
    <pivotField dataField="1"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Credit" fld="3" baseField="0" baseItem="0" numFmtId="166"/>
  </dataFields>
  <formats count="1">
    <format dxfId="40">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4849A9-3975-4573-8607-C1AFA667549D}"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7">
  <location ref="B36:D47" firstHeaderRow="0" firstDataRow="1" firstDataCol="1"/>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pivotField showAll="0"/>
    <pivotField showAll="0"/>
    <pivotField axis="axisRow" showAll="0">
      <items count="11">
        <item x="0"/>
        <item x="1"/>
        <item x="2"/>
        <item x="3"/>
        <item x="4"/>
        <item x="5"/>
        <item x="6"/>
        <item x="7"/>
        <item x="8"/>
        <item x="9"/>
        <item t="default"/>
      </items>
    </pivotField>
    <pivotField showAll="0"/>
    <pivotField showAll="0"/>
    <pivotField numFmtId="164"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pending" fld="2" baseField="7" baseItem="0"/>
    <dataField name="Income" fld="3" baseField="7" baseItem="0"/>
  </dataFields>
  <formats count="1">
    <format dxfId="41">
      <pivotArea outline="0" collapsedLevelsAreSubtotals="1" fieldPosition="0"/>
    </format>
  </formats>
  <chartFormats count="6">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398F6C-EBAE-461E-AC82-06B03411CD89}"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B26:C32" firstHeaderRow="1" firstDataRow="1" firstDataCol="1" rowPageCount="1" colPageCount="1"/>
  <pivotFields count="11">
    <pivotField numFmtId="14" showAll="0"/>
    <pivotField showAll="0"/>
    <pivotField dataField="1" showAll="0"/>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6">
    <i>
      <x v="13"/>
    </i>
    <i>
      <x v="11"/>
    </i>
    <i>
      <x v="1"/>
    </i>
    <i>
      <x v="6"/>
    </i>
    <i>
      <x/>
    </i>
    <i t="grand">
      <x/>
    </i>
  </rowItems>
  <colItems count="1">
    <i/>
  </colItems>
  <pageFields count="1">
    <pageField fld="6" hier="-1"/>
  </pageFields>
  <dataFields count="1">
    <dataField name="Sum of Debit" fld="2" baseField="0" baseItem="0" numFmtId="166"/>
  </dataFields>
  <formats count="1">
    <format dxfId="42">
      <pivotArea outline="0" collapsedLevelsAreSubtotals="1" fieldPosition="0"/>
    </format>
  </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DFAFE-B1A0-4D31-B050-B7D1DAB73FE5}"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I18:J29" firstHeaderRow="1" firstDataRow="1" firstDataCol="1"/>
  <pivotFields count="11">
    <pivotField numFmtId="14" showAll="0"/>
    <pivotField showAll="0"/>
    <pivotField dataField="1" showAll="0"/>
    <pivotField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Debit" fld="2" baseField="0" baseItem="0" numFmtId="166"/>
  </dataFields>
  <formats count="1">
    <format dxfId="4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EB5085-A372-4E4A-ABDD-5404E273E817}"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B10:D11" firstHeaderRow="0" firstDataRow="1" firstDataCol="0"/>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dataField="1" numFmtId="164" showAll="0"/>
  </pivotFields>
  <rowItems count="1">
    <i/>
  </rowItems>
  <colFields count="1">
    <field x="-2"/>
  </colFields>
  <colItems count="3">
    <i>
      <x/>
    </i>
    <i i="1">
      <x v="1"/>
    </i>
    <i i="2">
      <x v="2"/>
    </i>
  </colItems>
  <dataFields count="3">
    <dataField name="Sum of Debit" fld="2" baseField="0" baseItem="0" numFmtId="166"/>
    <dataField name="Sum of Credit" fld="3" baseField="0" baseItem="0" numFmtId="166"/>
    <dataField name="Sum of Net Amount" fld="10" baseField="0" baseItem="0" numFmtId="164"/>
  </dataFields>
  <formats count="2">
    <format dxfId="45">
      <pivotArea outline="0" collapsedLevelsAreSubtotals="1" fieldPosition="0">
        <references count="1">
          <reference field="4294967294" count="1" selected="0">
            <x v="0"/>
          </reference>
        </references>
      </pivotArea>
    </format>
    <format dxfId="4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78E7EF-9B4E-4E0F-85F4-6518847FD864}"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F36:H44" firstHeaderRow="0" firstDataRow="1" firstDataCol="1"/>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axis="axisRow" showAll="0">
      <items count="8">
        <item x="6"/>
        <item x="0"/>
        <item x="1"/>
        <item x="2"/>
        <item x="3"/>
        <item x="4"/>
        <item x="5"/>
        <item t="default"/>
      </items>
    </pivotField>
    <pivotField numFmtId="164" showAll="0"/>
  </pivotFields>
  <rowFields count="1">
    <field x="9"/>
  </rowFields>
  <rowItems count="8">
    <i>
      <x/>
    </i>
    <i>
      <x v="1"/>
    </i>
    <i>
      <x v="2"/>
    </i>
    <i>
      <x v="3"/>
    </i>
    <i>
      <x v="4"/>
    </i>
    <i>
      <x v="5"/>
    </i>
    <i>
      <x v="6"/>
    </i>
    <i t="grand">
      <x/>
    </i>
  </rowItems>
  <colFields count="1">
    <field x="-2"/>
  </colFields>
  <colItems count="2">
    <i>
      <x/>
    </i>
    <i i="1">
      <x v="1"/>
    </i>
  </colItems>
  <dataFields count="2">
    <dataField name="Income" fld="3" baseField="9" baseItem="1"/>
    <dataField name="Spending" fld="2" baseField="9" baseItem="1"/>
  </dataFields>
  <formats count="1">
    <format dxfId="4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763CE9-F5EA-4704-8183-E33DAE54FAA1}"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B16:C20" firstHeaderRow="1" firstDataRow="1" firstDataCol="1" rowPageCount="1" colPageCount="1"/>
  <pivotFields count="11">
    <pivotField numFmtId="14" showAll="0"/>
    <pivotField showAll="0"/>
    <pivotField showAll="0"/>
    <pivotField dataField="1"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3">
        <item h="1"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4">
    <i>
      <x v="3"/>
    </i>
    <i>
      <x v="17"/>
    </i>
    <i>
      <x v="16"/>
    </i>
    <i t="grand">
      <x/>
    </i>
  </rowItems>
  <colItems count="1">
    <i/>
  </colItems>
  <pageFields count="1">
    <pageField fld="6" hier="-1"/>
  </pageFields>
  <dataFields count="1">
    <dataField name="Sum of Credit" fld="3" baseField="0" baseItem="0" numFmtId="166"/>
  </dataFields>
  <formats count="1">
    <format dxfId="47">
      <pivotArea outline="0" collapsedLevelsAreSubtotals="1" fieldPosition="0"/>
    </format>
  </format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3"/>
          </reference>
        </references>
      </pivotArea>
    </chartFormat>
    <chartFormat chart="5" format="2">
      <pivotArea type="data" outline="0" fieldPosition="0">
        <references count="2">
          <reference field="4294967294" count="1" selected="0">
            <x v="0"/>
          </reference>
          <reference field="4" count="1" selected="0">
            <x v="17"/>
          </reference>
        </references>
      </pivotArea>
    </chartFormat>
    <chartFormat chart="5" format="3">
      <pivotArea type="data" outline="0" fieldPosition="0">
        <references count="2">
          <reference field="4294967294" count="1" selected="0">
            <x v="0"/>
          </reference>
          <reference field="4" count="1" selected="0">
            <x v="16"/>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6" format="6">
      <pivotArea type="data" outline="0" fieldPosition="0">
        <references count="2">
          <reference field="4294967294" count="1" selected="0">
            <x v="0"/>
          </reference>
          <reference field="4" count="1" selected="0">
            <x v="17"/>
          </reference>
        </references>
      </pivotArea>
    </chartFormat>
    <chartFormat chart="6" format="7">
      <pivotArea type="data" outline="0" fieldPosition="0">
        <references count="2">
          <reference field="4294967294" count="1" selected="0">
            <x v="0"/>
          </reference>
          <reference field="4" count="1" selected="0">
            <x v="16"/>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3"/>
          </reference>
        </references>
      </pivotArea>
    </chartFormat>
    <chartFormat chart="7" format="10">
      <pivotArea type="data" outline="0" fieldPosition="0">
        <references count="2">
          <reference field="4294967294" count="1" selected="0">
            <x v="0"/>
          </reference>
          <reference field="4" count="1" selected="0">
            <x v="17"/>
          </reference>
        </references>
      </pivotArea>
    </chartFormat>
    <chartFormat chart="7" format="11">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669D9E1-49BA-432F-8C49-76BBABE98032}" sourceName="Month Name">
  <pivotTables>
    <pivotTable tabId="3" name="PivotTable6"/>
    <pivotTable tabId="3" name="PivotTable1"/>
    <pivotTable tabId="3" name="PivotTable3"/>
    <pivotTable tabId="3" name="PivotTable4"/>
    <pivotTable tabId="3" name="PivotTable5"/>
    <pivotTable tabId="3" name="PivotTable7"/>
    <pivotTable tabId="3" name="PivotTable8"/>
  </pivotTables>
  <data>
    <tabular pivotCacheId="1484033068">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6FC6A9AF-CE07-4330-80C3-CC1EB04176CC}" cache="Slicer_Month_Name" caption="Month Name" showCaption="0"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2C169CF-01BB-4E91-B559-757CD6729532}" cache="Slicer_Month_Name" caption="Month Name" showCaption="0" style="im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8F6B4B-BCE1-46C2-83F1-58CEC4C040EC}" name="table1" displayName="table1" ref="E6:O492" totalsRowShown="0">
  <autoFilter ref="E6:O492" xr:uid="{718F6B4B-BCE1-46C2-83F1-58CEC4C040EC}"/>
  <sortState xmlns:xlrd2="http://schemas.microsoft.com/office/spreadsheetml/2017/richdata2" ref="E7:O492">
    <sortCondition descending="1" ref="H6:H492"/>
  </sortState>
  <tableColumns count="11">
    <tableColumn id="1" xr3:uid="{BD6C9A2D-1531-4B8C-BE19-2A471C295A6B}" name="Date" dataDxfId="54"/>
    <tableColumn id="2" xr3:uid="{5F91C18A-A573-4342-8F17-8441B4EAC0F5}" name="Description"/>
    <tableColumn id="3" xr3:uid="{FAB99AF0-CE4D-472C-BFFF-70B2791B386A}" name="Debit" dataDxfId="53"/>
    <tableColumn id="4" xr3:uid="{1B744BE0-1793-43A6-A111-367ED050CE9C}" name="Credit" dataDxfId="52"/>
    <tableColumn id="5" xr3:uid="{D2BD389E-6B69-499A-B5B0-8AD0CA475DFF}" name="Sub-category"/>
    <tableColumn id="6" xr3:uid="{BF451CEC-A782-485C-92DB-9B7375225D84}" name="Category"/>
    <tableColumn id="7" xr3:uid="{905A3559-2922-4A76-ADD0-55698CCC896C}" name="Category Type"/>
    <tableColumn id="12" xr3:uid="{9EADEB66-A8C2-4762-858A-9B021A0ED1F8}" name="Month Name" dataDxfId="51">
      <calculatedColumnFormula>TEXT(table1[[#This Row],[Date]],"MMM")</calculatedColumnFormula>
    </tableColumn>
    <tableColumn id="8" xr3:uid="{3ED85B5B-AA23-4BA1-8C1A-065D9B346485}" name="Month Number" dataDxfId="50">
      <calculatedColumnFormula>MONTH(table1[[#This Row],[Date]])</calculatedColumnFormula>
    </tableColumn>
    <tableColumn id="9" xr3:uid="{6932AE4C-C8BE-435C-91F2-5348E1FFA0D9}" name="Week Day" dataDxfId="49">
      <calculatedColumnFormula>TEXT(table1[[#This Row],[Date]],"ddd")</calculatedColumnFormula>
    </tableColumn>
    <tableColumn id="10" xr3:uid="{1653F2DB-4308-4936-BC7C-16DAE7114F0F}" name="Net Amount" dataDxfId="48">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6:O492"/>
  <sheetViews>
    <sheetView zoomScale="74" workbookViewId="0"/>
  </sheetViews>
  <sheetFormatPr defaultRowHeight="15" x14ac:dyDescent="0.25"/>
  <cols>
    <col min="5" max="5" width="12.140625" bestFit="1" customWidth="1"/>
    <col min="6" max="6" width="21.42578125" bestFit="1" customWidth="1"/>
    <col min="7" max="7" width="9.85546875" bestFit="1" customWidth="1"/>
    <col min="8" max="8" width="11.5703125" bestFit="1" customWidth="1"/>
    <col min="9" max="9" width="16.28515625" bestFit="1" customWidth="1"/>
    <col min="10" max="10" width="13.5703125" bestFit="1" customWidth="1"/>
    <col min="11" max="11" width="7.7109375" bestFit="1" customWidth="1"/>
    <col min="12" max="12" width="14.42578125" bestFit="1" customWidth="1"/>
    <col min="13" max="13" width="16.42578125" bestFit="1" customWidth="1"/>
    <col min="14" max="14" width="11.7109375" bestFit="1" customWidth="1"/>
    <col min="15" max="15" width="14.7109375" bestFit="1" customWidth="1"/>
  </cols>
  <sheetData>
    <row r="6" spans="5:15" x14ac:dyDescent="0.25">
      <c r="E6" t="s">
        <v>0</v>
      </c>
      <c r="F6" t="s">
        <v>1</v>
      </c>
      <c r="G6" t="s">
        <v>2</v>
      </c>
      <c r="H6" t="s">
        <v>3</v>
      </c>
      <c r="I6" t="s">
        <v>4</v>
      </c>
      <c r="J6" t="s">
        <v>5</v>
      </c>
      <c r="K6" t="s">
        <v>6</v>
      </c>
      <c r="L6" t="s">
        <v>7</v>
      </c>
      <c r="M6" t="s">
        <v>8</v>
      </c>
      <c r="N6" t="s">
        <v>9</v>
      </c>
      <c r="O6" t="s">
        <v>10</v>
      </c>
    </row>
    <row r="7" spans="5:15" x14ac:dyDescent="0.25">
      <c r="E7" s="1">
        <v>44200</v>
      </c>
      <c r="F7" t="s">
        <v>11</v>
      </c>
      <c r="G7" s="2"/>
      <c r="H7" s="2">
        <v>5000</v>
      </c>
      <c r="I7" t="s">
        <v>12</v>
      </c>
      <c r="J7" t="s">
        <v>13</v>
      </c>
      <c r="K7" t="s">
        <v>14</v>
      </c>
      <c r="L7" t="str">
        <f>TEXT(table1[[#This Row],[Date]],"MMM")</f>
        <v>Jan</v>
      </c>
      <c r="M7">
        <f>MONTH(table1[[#This Row],[Date]])</f>
        <v>1</v>
      </c>
      <c r="N7" t="str">
        <f>TEXT(table1[[#This Row],[Date]],"ddd")</f>
        <v>Mon</v>
      </c>
      <c r="O7" s="2">
        <f>table1[[#This Row],[Credit]]-table1[[#This Row],[Debit]]</f>
        <v>5000</v>
      </c>
    </row>
    <row r="8" spans="5:15" x14ac:dyDescent="0.25">
      <c r="E8" s="1">
        <v>44228</v>
      </c>
      <c r="F8" t="s">
        <v>11</v>
      </c>
      <c r="G8" s="2"/>
      <c r="H8" s="2">
        <v>5000</v>
      </c>
      <c r="I8" t="s">
        <v>12</v>
      </c>
      <c r="J8" t="s">
        <v>13</v>
      </c>
      <c r="K8" t="s">
        <v>14</v>
      </c>
      <c r="L8" t="str">
        <f>TEXT(table1[[#This Row],[Date]],"MMM")</f>
        <v>Feb</v>
      </c>
      <c r="M8">
        <f>MONTH(table1[[#This Row],[Date]])</f>
        <v>2</v>
      </c>
      <c r="N8" t="str">
        <f>TEXT(table1[[#This Row],[Date]],"ddd")</f>
        <v>Mon</v>
      </c>
      <c r="O8" s="2">
        <f>table1[[#This Row],[Credit]]-table1[[#This Row],[Debit]]</f>
        <v>5000</v>
      </c>
    </row>
    <row r="9" spans="5:15" x14ac:dyDescent="0.25">
      <c r="E9" s="1">
        <v>44256</v>
      </c>
      <c r="F9" t="s">
        <v>11</v>
      </c>
      <c r="G9" s="2"/>
      <c r="H9" s="2">
        <v>5000</v>
      </c>
      <c r="I9" t="s">
        <v>12</v>
      </c>
      <c r="J9" t="s">
        <v>13</v>
      </c>
      <c r="K9" t="s">
        <v>14</v>
      </c>
      <c r="L9" t="str">
        <f>TEXT(table1[[#This Row],[Date]],"MMM")</f>
        <v>Mar</v>
      </c>
      <c r="M9">
        <f>MONTH(table1[[#This Row],[Date]])</f>
        <v>3</v>
      </c>
      <c r="N9" t="str">
        <f>TEXT(table1[[#This Row],[Date]],"ddd")</f>
        <v>Mon</v>
      </c>
      <c r="O9" s="2">
        <f>table1[[#This Row],[Credit]]-table1[[#This Row],[Debit]]</f>
        <v>5000</v>
      </c>
    </row>
    <row r="10" spans="5:15" x14ac:dyDescent="0.25">
      <c r="E10" s="1">
        <v>44287</v>
      </c>
      <c r="F10" t="s">
        <v>11</v>
      </c>
      <c r="G10" s="2"/>
      <c r="H10" s="2">
        <v>5000</v>
      </c>
      <c r="I10" t="s">
        <v>12</v>
      </c>
      <c r="J10" t="s">
        <v>13</v>
      </c>
      <c r="K10" t="s">
        <v>14</v>
      </c>
      <c r="L10" t="str">
        <f>TEXT(table1[[#This Row],[Date]],"MMM")</f>
        <v>Apr</v>
      </c>
      <c r="M10">
        <f>MONTH(table1[[#This Row],[Date]])</f>
        <v>4</v>
      </c>
      <c r="N10" t="str">
        <f>TEXT(table1[[#This Row],[Date]],"ddd")</f>
        <v>Thu</v>
      </c>
      <c r="O10" s="2">
        <f>table1[[#This Row],[Credit]]-table1[[#This Row],[Debit]]</f>
        <v>5000</v>
      </c>
    </row>
    <row r="11" spans="5:15" x14ac:dyDescent="0.25">
      <c r="E11" s="1">
        <v>44319</v>
      </c>
      <c r="F11" t="s">
        <v>11</v>
      </c>
      <c r="G11" s="2"/>
      <c r="H11" s="2">
        <v>5000</v>
      </c>
      <c r="I11" t="s">
        <v>12</v>
      </c>
      <c r="J11" t="s">
        <v>13</v>
      </c>
      <c r="K11" t="s">
        <v>14</v>
      </c>
      <c r="L11" t="str">
        <f>TEXT(table1[[#This Row],[Date]],"MMM")</f>
        <v>May</v>
      </c>
      <c r="M11">
        <f>MONTH(table1[[#This Row],[Date]])</f>
        <v>5</v>
      </c>
      <c r="N11" t="str">
        <f>TEXT(table1[[#This Row],[Date]],"ddd")</f>
        <v>Mon</v>
      </c>
      <c r="O11" s="2">
        <f>table1[[#This Row],[Credit]]-table1[[#This Row],[Debit]]</f>
        <v>5000</v>
      </c>
    </row>
    <row r="12" spans="5:15" x14ac:dyDescent="0.25">
      <c r="E12" s="1">
        <v>44348</v>
      </c>
      <c r="F12" t="s">
        <v>11</v>
      </c>
      <c r="G12" s="2"/>
      <c r="H12" s="2">
        <v>5000</v>
      </c>
      <c r="I12" t="s">
        <v>12</v>
      </c>
      <c r="J12" t="s">
        <v>13</v>
      </c>
      <c r="K12" t="s">
        <v>14</v>
      </c>
      <c r="L12" t="str">
        <f>TEXT(table1[[#This Row],[Date]],"MMM")</f>
        <v>Jun</v>
      </c>
      <c r="M12">
        <f>MONTH(table1[[#This Row],[Date]])</f>
        <v>6</v>
      </c>
      <c r="N12" t="str">
        <f>TEXT(table1[[#This Row],[Date]],"ddd")</f>
        <v>Tue</v>
      </c>
      <c r="O12" s="2">
        <f>table1[[#This Row],[Credit]]-table1[[#This Row],[Debit]]</f>
        <v>5000</v>
      </c>
    </row>
    <row r="13" spans="5:15" x14ac:dyDescent="0.25">
      <c r="E13" s="1">
        <v>44379</v>
      </c>
      <c r="F13" t="s">
        <v>11</v>
      </c>
      <c r="G13" s="2"/>
      <c r="H13" s="2">
        <v>5000</v>
      </c>
      <c r="I13" t="s">
        <v>12</v>
      </c>
      <c r="J13" t="s">
        <v>13</v>
      </c>
      <c r="K13" t="s">
        <v>14</v>
      </c>
      <c r="L13" t="str">
        <f>TEXT(table1[[#This Row],[Date]],"MMM")</f>
        <v>Jul</v>
      </c>
      <c r="M13">
        <f>MONTH(table1[[#This Row],[Date]])</f>
        <v>7</v>
      </c>
      <c r="N13" t="str">
        <f>TEXT(table1[[#This Row],[Date]],"ddd")</f>
        <v>Fri</v>
      </c>
      <c r="O13" s="2">
        <f>table1[[#This Row],[Credit]]-table1[[#This Row],[Debit]]</f>
        <v>5000</v>
      </c>
    </row>
    <row r="14" spans="5:15" x14ac:dyDescent="0.25">
      <c r="E14" s="1">
        <v>44410</v>
      </c>
      <c r="F14" t="s">
        <v>11</v>
      </c>
      <c r="G14" s="2"/>
      <c r="H14" s="2">
        <v>5000</v>
      </c>
      <c r="I14" t="s">
        <v>12</v>
      </c>
      <c r="J14" t="s">
        <v>13</v>
      </c>
      <c r="K14" t="s">
        <v>14</v>
      </c>
      <c r="L14" t="str">
        <f>TEXT(table1[[#This Row],[Date]],"MMM")</f>
        <v>Aug</v>
      </c>
      <c r="M14">
        <f>MONTH(table1[[#This Row],[Date]])</f>
        <v>8</v>
      </c>
      <c r="N14" t="str">
        <f>TEXT(table1[[#This Row],[Date]],"ddd")</f>
        <v>Mon</v>
      </c>
      <c r="O14" s="2">
        <f>table1[[#This Row],[Credit]]-table1[[#This Row],[Debit]]</f>
        <v>5000</v>
      </c>
    </row>
    <row r="15" spans="5:15" x14ac:dyDescent="0.25">
      <c r="E15" s="1">
        <v>44441</v>
      </c>
      <c r="F15" t="s">
        <v>11</v>
      </c>
      <c r="G15" s="2"/>
      <c r="H15" s="2">
        <v>5000</v>
      </c>
      <c r="I15" t="s">
        <v>12</v>
      </c>
      <c r="J15" t="s">
        <v>13</v>
      </c>
      <c r="K15" t="s">
        <v>14</v>
      </c>
      <c r="L15" t="str">
        <f>TEXT(table1[[#This Row],[Date]],"MMM")</f>
        <v>Sep</v>
      </c>
      <c r="M15">
        <f>MONTH(table1[[#This Row],[Date]])</f>
        <v>9</v>
      </c>
      <c r="N15" t="str">
        <f>TEXT(table1[[#This Row],[Date]],"ddd")</f>
        <v>Thu</v>
      </c>
      <c r="O15" s="2">
        <f>table1[[#This Row],[Credit]]-table1[[#This Row],[Debit]]</f>
        <v>5000</v>
      </c>
    </row>
    <row r="16" spans="5:15" x14ac:dyDescent="0.25">
      <c r="E16" s="1">
        <v>44472</v>
      </c>
      <c r="F16" t="s">
        <v>11</v>
      </c>
      <c r="G16" s="2"/>
      <c r="H16" s="2">
        <v>5000</v>
      </c>
      <c r="I16" t="s">
        <v>12</v>
      </c>
      <c r="J16" t="s">
        <v>13</v>
      </c>
      <c r="K16" t="s">
        <v>14</v>
      </c>
      <c r="L16" t="str">
        <f>TEXT(table1[[#This Row],[Date]],"MMM")</f>
        <v>Oct</v>
      </c>
      <c r="M16">
        <f>MONTH(table1[[#This Row],[Date]])</f>
        <v>10</v>
      </c>
      <c r="N16" t="str">
        <f>TEXT(table1[[#This Row],[Date]],"ddd")</f>
        <v>Sun</v>
      </c>
      <c r="O16" s="2">
        <f>table1[[#This Row],[Credit]]-table1[[#This Row],[Debit]]</f>
        <v>5000</v>
      </c>
    </row>
    <row r="17" spans="5:15" x14ac:dyDescent="0.25">
      <c r="E17" s="1">
        <v>44214</v>
      </c>
      <c r="F17" t="s">
        <v>39</v>
      </c>
      <c r="G17" s="2"/>
      <c r="H17" s="2">
        <v>4500</v>
      </c>
      <c r="I17" t="s">
        <v>40</v>
      </c>
      <c r="J17" t="s">
        <v>41</v>
      </c>
      <c r="K17" t="s">
        <v>14</v>
      </c>
      <c r="L17" t="str">
        <f>TEXT(table1[[#This Row],[Date]],"MMM")</f>
        <v>Jan</v>
      </c>
      <c r="M17">
        <f>MONTH(table1[[#This Row],[Date]])</f>
        <v>1</v>
      </c>
      <c r="N17" t="str">
        <f>TEXT(table1[[#This Row],[Date]],"ddd")</f>
        <v>Mon</v>
      </c>
      <c r="O17" s="2">
        <f>table1[[#This Row],[Credit]]-table1[[#This Row],[Debit]]</f>
        <v>4500</v>
      </c>
    </row>
    <row r="18" spans="5:15" x14ac:dyDescent="0.25">
      <c r="E18" s="1">
        <v>44215</v>
      </c>
      <c r="F18" t="s">
        <v>39</v>
      </c>
      <c r="G18" s="2"/>
      <c r="H18" s="2">
        <v>4500</v>
      </c>
      <c r="I18" t="s">
        <v>42</v>
      </c>
      <c r="J18" t="s">
        <v>41</v>
      </c>
      <c r="K18" t="s">
        <v>14</v>
      </c>
      <c r="L18" t="str">
        <f>TEXT(table1[[#This Row],[Date]],"MMM")</f>
        <v>Jan</v>
      </c>
      <c r="M18">
        <f>MONTH(table1[[#This Row],[Date]])</f>
        <v>1</v>
      </c>
      <c r="N18" t="str">
        <f>TEXT(table1[[#This Row],[Date]],"ddd")</f>
        <v>Tue</v>
      </c>
      <c r="O18" s="2">
        <f>table1[[#This Row],[Credit]]-table1[[#This Row],[Debit]]</f>
        <v>4500</v>
      </c>
    </row>
    <row r="19" spans="5:15" x14ac:dyDescent="0.25">
      <c r="E19" s="1">
        <v>44301</v>
      </c>
      <c r="F19" t="s">
        <v>39</v>
      </c>
      <c r="G19" s="2"/>
      <c r="H19" s="2">
        <v>2340</v>
      </c>
      <c r="I19" t="s">
        <v>40</v>
      </c>
      <c r="J19" t="s">
        <v>41</v>
      </c>
      <c r="K19" t="s">
        <v>14</v>
      </c>
      <c r="L19" t="str">
        <f>TEXT(table1[[#This Row],[Date]],"MMM")</f>
        <v>Apr</v>
      </c>
      <c r="M19">
        <f>MONTH(table1[[#This Row],[Date]])</f>
        <v>4</v>
      </c>
      <c r="N19" t="str">
        <f>TEXT(table1[[#This Row],[Date]],"ddd")</f>
        <v>Thu</v>
      </c>
      <c r="O19" s="2">
        <f>table1[[#This Row],[Credit]]-table1[[#This Row],[Debit]]</f>
        <v>2340</v>
      </c>
    </row>
    <row r="20" spans="5:15" x14ac:dyDescent="0.25">
      <c r="E20" s="1">
        <v>44270</v>
      </c>
      <c r="F20" t="s">
        <v>39</v>
      </c>
      <c r="G20" s="2"/>
      <c r="H20" s="2">
        <v>1000</v>
      </c>
      <c r="I20" t="s">
        <v>40</v>
      </c>
      <c r="J20" t="s">
        <v>41</v>
      </c>
      <c r="K20" t="s">
        <v>14</v>
      </c>
      <c r="L20" t="str">
        <f>TEXT(table1[[#This Row],[Date]],"MMM")</f>
        <v>Mar</v>
      </c>
      <c r="M20">
        <f>MONTH(table1[[#This Row],[Date]])</f>
        <v>3</v>
      </c>
      <c r="N20" t="str">
        <f>TEXT(table1[[#This Row],[Date]],"ddd")</f>
        <v>Mon</v>
      </c>
      <c r="O20" s="2">
        <f>table1[[#This Row],[Credit]]-table1[[#This Row],[Debit]]</f>
        <v>1000</v>
      </c>
    </row>
    <row r="21" spans="5:15" x14ac:dyDescent="0.25">
      <c r="E21" s="1">
        <v>44332</v>
      </c>
      <c r="F21" t="s">
        <v>39</v>
      </c>
      <c r="G21" s="2"/>
      <c r="H21" s="2">
        <v>1000</v>
      </c>
      <c r="I21" t="s">
        <v>40</v>
      </c>
      <c r="J21" t="s">
        <v>41</v>
      </c>
      <c r="K21" t="s">
        <v>14</v>
      </c>
      <c r="L21" t="str">
        <f>TEXT(table1[[#This Row],[Date]],"MMM")</f>
        <v>May</v>
      </c>
      <c r="M21">
        <f>MONTH(table1[[#This Row],[Date]])</f>
        <v>5</v>
      </c>
      <c r="N21" t="str">
        <f>TEXT(table1[[#This Row],[Date]],"ddd")</f>
        <v>Sun</v>
      </c>
      <c r="O21" s="2">
        <f>table1[[#This Row],[Credit]]-table1[[#This Row],[Debit]]</f>
        <v>1000</v>
      </c>
    </row>
    <row r="22" spans="5:15" x14ac:dyDescent="0.25">
      <c r="E22" s="1">
        <v>44242</v>
      </c>
      <c r="F22" t="s">
        <v>39</v>
      </c>
      <c r="G22" s="2"/>
      <c r="H22" s="2">
        <v>800</v>
      </c>
      <c r="I22" t="s">
        <v>40</v>
      </c>
      <c r="J22" t="s">
        <v>41</v>
      </c>
      <c r="K22" t="s">
        <v>14</v>
      </c>
      <c r="L22" t="str">
        <f>TEXT(table1[[#This Row],[Date]],"MMM")</f>
        <v>Feb</v>
      </c>
      <c r="M22">
        <f>MONTH(table1[[#This Row],[Date]])</f>
        <v>2</v>
      </c>
      <c r="N22" t="str">
        <f>TEXT(table1[[#This Row],[Date]],"ddd")</f>
        <v>Mon</v>
      </c>
      <c r="O22" s="2">
        <f>table1[[#This Row],[Credit]]-table1[[#This Row],[Debit]]</f>
        <v>800</v>
      </c>
    </row>
    <row r="23" spans="5:15" x14ac:dyDescent="0.25">
      <c r="E23" s="1">
        <v>44425</v>
      </c>
      <c r="F23" t="s">
        <v>39</v>
      </c>
      <c r="G23" s="2"/>
      <c r="H23" s="2">
        <v>800</v>
      </c>
      <c r="I23" t="s">
        <v>40</v>
      </c>
      <c r="J23" t="s">
        <v>41</v>
      </c>
      <c r="K23" t="s">
        <v>14</v>
      </c>
      <c r="L23" t="str">
        <f>TEXT(table1[[#This Row],[Date]],"MMM")</f>
        <v>Aug</v>
      </c>
      <c r="M23">
        <f>MONTH(table1[[#This Row],[Date]])</f>
        <v>8</v>
      </c>
      <c r="N23" t="str">
        <f>TEXT(table1[[#This Row],[Date]],"ddd")</f>
        <v>Tue</v>
      </c>
      <c r="O23" s="2">
        <f>table1[[#This Row],[Credit]]-table1[[#This Row],[Debit]]</f>
        <v>800</v>
      </c>
    </row>
    <row r="24" spans="5:15" x14ac:dyDescent="0.25">
      <c r="E24" s="1">
        <v>44394</v>
      </c>
      <c r="F24" t="s">
        <v>39</v>
      </c>
      <c r="G24" s="2"/>
      <c r="H24" s="2">
        <v>200</v>
      </c>
      <c r="I24" t="s">
        <v>40</v>
      </c>
      <c r="J24" t="s">
        <v>41</v>
      </c>
      <c r="K24" t="s">
        <v>14</v>
      </c>
      <c r="L24" t="str">
        <f>TEXT(table1[[#This Row],[Date]],"MMM")</f>
        <v>Jul</v>
      </c>
      <c r="M24">
        <f>MONTH(table1[[#This Row],[Date]])</f>
        <v>7</v>
      </c>
      <c r="N24" t="str">
        <f>TEXT(table1[[#This Row],[Date]],"ddd")</f>
        <v>Sat</v>
      </c>
      <c r="O24" s="2">
        <f>table1[[#This Row],[Credit]]-table1[[#This Row],[Debit]]</f>
        <v>200</v>
      </c>
    </row>
    <row r="25" spans="5:15" x14ac:dyDescent="0.25">
      <c r="E25" s="1">
        <v>44363</v>
      </c>
      <c r="F25" t="s">
        <v>39</v>
      </c>
      <c r="G25" s="2"/>
      <c r="H25" s="2">
        <v>100</v>
      </c>
      <c r="I25" t="s">
        <v>40</v>
      </c>
      <c r="J25" t="s">
        <v>41</v>
      </c>
      <c r="K25" t="s">
        <v>14</v>
      </c>
      <c r="L25" t="str">
        <f>TEXT(table1[[#This Row],[Date]],"MMM")</f>
        <v>Jun</v>
      </c>
      <c r="M25">
        <f>MONTH(table1[[#This Row],[Date]])</f>
        <v>6</v>
      </c>
      <c r="N25" t="str">
        <f>TEXT(table1[[#This Row],[Date]],"ddd")</f>
        <v>Wed</v>
      </c>
      <c r="O25" s="2">
        <f>table1[[#This Row],[Credit]]-table1[[#This Row],[Debit]]</f>
        <v>100</v>
      </c>
    </row>
    <row r="26" spans="5:15" x14ac:dyDescent="0.25">
      <c r="E26" s="1">
        <v>44456</v>
      </c>
      <c r="F26" t="s">
        <v>39</v>
      </c>
      <c r="G26" s="2"/>
      <c r="H26" s="2">
        <v>100</v>
      </c>
      <c r="I26" t="s">
        <v>40</v>
      </c>
      <c r="J26" t="s">
        <v>41</v>
      </c>
      <c r="K26" t="s">
        <v>14</v>
      </c>
      <c r="L26" t="str">
        <f>TEXT(table1[[#This Row],[Date]],"MMM")</f>
        <v>Sep</v>
      </c>
      <c r="M26">
        <f>MONTH(table1[[#This Row],[Date]])</f>
        <v>9</v>
      </c>
      <c r="N26" t="str">
        <f>TEXT(table1[[#This Row],[Date]],"ddd")</f>
        <v>Fri</v>
      </c>
      <c r="O26" s="2">
        <f>table1[[#This Row],[Credit]]-table1[[#This Row],[Debit]]</f>
        <v>100</v>
      </c>
    </row>
    <row r="27" spans="5:15" x14ac:dyDescent="0.25">
      <c r="E27" s="1">
        <v>44487</v>
      </c>
      <c r="F27" t="s">
        <v>39</v>
      </c>
      <c r="G27" s="2"/>
      <c r="H27" s="2">
        <v>100</v>
      </c>
      <c r="I27" t="s">
        <v>40</v>
      </c>
      <c r="J27" t="s">
        <v>41</v>
      </c>
      <c r="K27" t="s">
        <v>14</v>
      </c>
      <c r="L27" t="str">
        <f>TEXT(table1[[#This Row],[Date]],"MMM")</f>
        <v>Oct</v>
      </c>
      <c r="M27">
        <f>MONTH(table1[[#This Row],[Date]])</f>
        <v>10</v>
      </c>
      <c r="N27" t="str">
        <f>TEXT(table1[[#This Row],[Date]],"ddd")</f>
        <v>Mon</v>
      </c>
      <c r="O27" s="2">
        <f>table1[[#This Row],[Credit]]-table1[[#This Row],[Debit]]</f>
        <v>100</v>
      </c>
    </row>
    <row r="28" spans="5:15" x14ac:dyDescent="0.25">
      <c r="E28" s="1">
        <v>44201</v>
      </c>
      <c r="F28" t="s">
        <v>19</v>
      </c>
      <c r="G28" s="2">
        <v>900</v>
      </c>
      <c r="H28" s="2"/>
      <c r="I28" t="s">
        <v>20</v>
      </c>
      <c r="J28" t="s">
        <v>21</v>
      </c>
      <c r="K28" t="s">
        <v>18</v>
      </c>
      <c r="L28" t="str">
        <f>TEXT(table1[[#This Row],[Date]],"MMM")</f>
        <v>Jan</v>
      </c>
      <c r="M28">
        <f>MONTH(table1[[#This Row],[Date]])</f>
        <v>1</v>
      </c>
      <c r="N28" t="str">
        <f>TEXT(table1[[#This Row],[Date]],"ddd")</f>
        <v>Tue</v>
      </c>
      <c r="O28" s="2">
        <f>table1[[#This Row],[Credit]]-table1[[#This Row],[Debit]]</f>
        <v>-900</v>
      </c>
    </row>
    <row r="29" spans="5:15" x14ac:dyDescent="0.25">
      <c r="E29" s="1">
        <v>44229</v>
      </c>
      <c r="F29" t="s">
        <v>19</v>
      </c>
      <c r="G29" s="2">
        <v>900</v>
      </c>
      <c r="H29" s="2"/>
      <c r="I29" t="s">
        <v>20</v>
      </c>
      <c r="J29" t="s">
        <v>21</v>
      </c>
      <c r="K29" t="s">
        <v>18</v>
      </c>
      <c r="L29" t="str">
        <f>TEXT(table1[[#This Row],[Date]],"MMM")</f>
        <v>Feb</v>
      </c>
      <c r="M29">
        <f>MONTH(table1[[#This Row],[Date]])</f>
        <v>2</v>
      </c>
      <c r="N29" t="str">
        <f>TEXT(table1[[#This Row],[Date]],"ddd")</f>
        <v>Tue</v>
      </c>
      <c r="O29" s="2">
        <f>table1[[#This Row],[Credit]]-table1[[#This Row],[Debit]]</f>
        <v>-900</v>
      </c>
    </row>
    <row r="30" spans="5:15" x14ac:dyDescent="0.25">
      <c r="E30" s="1">
        <v>44257</v>
      </c>
      <c r="F30" t="s">
        <v>19</v>
      </c>
      <c r="G30" s="2">
        <v>900</v>
      </c>
      <c r="H30" s="2"/>
      <c r="I30" t="s">
        <v>20</v>
      </c>
      <c r="J30" t="s">
        <v>21</v>
      </c>
      <c r="K30" t="s">
        <v>18</v>
      </c>
      <c r="L30" t="str">
        <f>TEXT(table1[[#This Row],[Date]],"MMM")</f>
        <v>Mar</v>
      </c>
      <c r="M30">
        <f>MONTH(table1[[#This Row],[Date]])</f>
        <v>3</v>
      </c>
      <c r="N30" t="str">
        <f>TEXT(table1[[#This Row],[Date]],"ddd")</f>
        <v>Tue</v>
      </c>
      <c r="O30" s="2">
        <f>table1[[#This Row],[Credit]]-table1[[#This Row],[Debit]]</f>
        <v>-900</v>
      </c>
    </row>
    <row r="31" spans="5:15" x14ac:dyDescent="0.25">
      <c r="E31" s="1">
        <v>44288</v>
      </c>
      <c r="F31" t="s">
        <v>19</v>
      </c>
      <c r="G31" s="2">
        <v>900</v>
      </c>
      <c r="H31" s="2"/>
      <c r="I31" t="s">
        <v>20</v>
      </c>
      <c r="J31" t="s">
        <v>21</v>
      </c>
      <c r="K31" t="s">
        <v>18</v>
      </c>
      <c r="L31" t="str">
        <f>TEXT(table1[[#This Row],[Date]],"MMM")</f>
        <v>Apr</v>
      </c>
      <c r="M31">
        <f>MONTH(table1[[#This Row],[Date]])</f>
        <v>4</v>
      </c>
      <c r="N31" t="str">
        <f>TEXT(table1[[#This Row],[Date]],"ddd")</f>
        <v>Fri</v>
      </c>
      <c r="O31" s="2">
        <f>table1[[#This Row],[Credit]]-table1[[#This Row],[Debit]]</f>
        <v>-900</v>
      </c>
    </row>
    <row r="32" spans="5:15" x14ac:dyDescent="0.25">
      <c r="E32" s="1">
        <v>44319</v>
      </c>
      <c r="F32" t="s">
        <v>19</v>
      </c>
      <c r="G32" s="2">
        <v>900</v>
      </c>
      <c r="H32" s="2"/>
      <c r="I32" t="s">
        <v>20</v>
      </c>
      <c r="J32" t="s">
        <v>21</v>
      </c>
      <c r="K32" t="s">
        <v>18</v>
      </c>
      <c r="L32" t="str">
        <f>TEXT(table1[[#This Row],[Date]],"MMM")</f>
        <v>May</v>
      </c>
      <c r="M32">
        <f>MONTH(table1[[#This Row],[Date]])</f>
        <v>5</v>
      </c>
      <c r="N32" t="str">
        <f>TEXT(table1[[#This Row],[Date]],"ddd")</f>
        <v>Mon</v>
      </c>
      <c r="O32" s="2">
        <f>table1[[#This Row],[Credit]]-table1[[#This Row],[Debit]]</f>
        <v>-900</v>
      </c>
    </row>
    <row r="33" spans="5:15" x14ac:dyDescent="0.25">
      <c r="E33" s="1">
        <v>44350</v>
      </c>
      <c r="F33" t="s">
        <v>19</v>
      </c>
      <c r="G33" s="2">
        <v>900</v>
      </c>
      <c r="H33" s="2"/>
      <c r="I33" t="s">
        <v>20</v>
      </c>
      <c r="J33" t="s">
        <v>21</v>
      </c>
      <c r="K33" t="s">
        <v>18</v>
      </c>
      <c r="L33" t="str">
        <f>TEXT(table1[[#This Row],[Date]],"MMM")</f>
        <v>Jun</v>
      </c>
      <c r="M33">
        <f>MONTH(table1[[#This Row],[Date]])</f>
        <v>6</v>
      </c>
      <c r="N33" t="str">
        <f>TEXT(table1[[#This Row],[Date]],"ddd")</f>
        <v>Thu</v>
      </c>
      <c r="O33" s="2">
        <f>table1[[#This Row],[Credit]]-table1[[#This Row],[Debit]]</f>
        <v>-900</v>
      </c>
    </row>
    <row r="34" spans="5:15" x14ac:dyDescent="0.25">
      <c r="E34" s="1">
        <v>44382</v>
      </c>
      <c r="F34" t="s">
        <v>19</v>
      </c>
      <c r="G34" s="2">
        <v>900</v>
      </c>
      <c r="H34" s="2"/>
      <c r="I34" t="s">
        <v>20</v>
      </c>
      <c r="J34" t="s">
        <v>21</v>
      </c>
      <c r="K34" t="s">
        <v>18</v>
      </c>
      <c r="L34" t="str">
        <f>TEXT(table1[[#This Row],[Date]],"MMM")</f>
        <v>Jul</v>
      </c>
      <c r="M34">
        <f>MONTH(table1[[#This Row],[Date]])</f>
        <v>7</v>
      </c>
      <c r="N34" t="str">
        <f>TEXT(table1[[#This Row],[Date]],"ddd")</f>
        <v>Mon</v>
      </c>
      <c r="O34" s="2">
        <f>table1[[#This Row],[Credit]]-table1[[#This Row],[Debit]]</f>
        <v>-900</v>
      </c>
    </row>
    <row r="35" spans="5:15" x14ac:dyDescent="0.25">
      <c r="E35" s="1">
        <v>44413</v>
      </c>
      <c r="F35" t="s">
        <v>19</v>
      </c>
      <c r="G35" s="2">
        <v>900</v>
      </c>
      <c r="H35" s="2"/>
      <c r="I35" t="s">
        <v>20</v>
      </c>
      <c r="J35" t="s">
        <v>21</v>
      </c>
      <c r="K35" t="s">
        <v>18</v>
      </c>
      <c r="L35" t="str">
        <f>TEXT(table1[[#This Row],[Date]],"MMM")</f>
        <v>Aug</v>
      </c>
      <c r="M35">
        <f>MONTH(table1[[#This Row],[Date]])</f>
        <v>8</v>
      </c>
      <c r="N35" t="str">
        <f>TEXT(table1[[#This Row],[Date]],"ddd")</f>
        <v>Thu</v>
      </c>
      <c r="O35" s="2">
        <f>table1[[#This Row],[Credit]]-table1[[#This Row],[Debit]]</f>
        <v>-900</v>
      </c>
    </row>
    <row r="36" spans="5:15" x14ac:dyDescent="0.25">
      <c r="E36" s="1">
        <v>44444</v>
      </c>
      <c r="F36" t="s">
        <v>19</v>
      </c>
      <c r="G36" s="2">
        <v>900</v>
      </c>
      <c r="H36" s="2"/>
      <c r="I36" t="s">
        <v>20</v>
      </c>
      <c r="J36" t="s">
        <v>21</v>
      </c>
      <c r="K36" t="s">
        <v>18</v>
      </c>
      <c r="L36" t="str">
        <f>TEXT(table1[[#This Row],[Date]],"MMM")</f>
        <v>Sep</v>
      </c>
      <c r="M36">
        <f>MONTH(table1[[#This Row],[Date]])</f>
        <v>9</v>
      </c>
      <c r="N36" t="str">
        <f>TEXT(table1[[#This Row],[Date]],"ddd")</f>
        <v>Sun</v>
      </c>
      <c r="O36" s="2">
        <f>table1[[#This Row],[Credit]]-table1[[#This Row],[Debit]]</f>
        <v>-900</v>
      </c>
    </row>
    <row r="37" spans="5:15" x14ac:dyDescent="0.25">
      <c r="E37" s="1">
        <v>44475</v>
      </c>
      <c r="F37" t="s">
        <v>19</v>
      </c>
      <c r="G37" s="2">
        <v>900</v>
      </c>
      <c r="H37" s="2"/>
      <c r="I37" t="s">
        <v>20</v>
      </c>
      <c r="J37" t="s">
        <v>21</v>
      </c>
      <c r="K37" t="s">
        <v>18</v>
      </c>
      <c r="L37" t="str">
        <f>TEXT(table1[[#This Row],[Date]],"MMM")</f>
        <v>Oct</v>
      </c>
      <c r="M37">
        <f>MONTH(table1[[#This Row],[Date]])</f>
        <v>10</v>
      </c>
      <c r="N37" t="str">
        <f>TEXT(table1[[#This Row],[Date]],"ddd")</f>
        <v>Wed</v>
      </c>
      <c r="O37" s="2">
        <f>table1[[#This Row],[Credit]]-table1[[#This Row],[Debit]]</f>
        <v>-900</v>
      </c>
    </row>
    <row r="38" spans="5:15" x14ac:dyDescent="0.25">
      <c r="E38" s="1">
        <v>44313</v>
      </c>
      <c r="F38" t="s">
        <v>61</v>
      </c>
      <c r="G38" s="2">
        <v>300</v>
      </c>
      <c r="H38" s="2"/>
      <c r="I38" t="s">
        <v>31</v>
      </c>
      <c r="J38" t="s">
        <v>32</v>
      </c>
      <c r="K38" t="s">
        <v>18</v>
      </c>
      <c r="L38" t="str">
        <f>TEXT(table1[[#This Row],[Date]],"MMM")</f>
        <v>Apr</v>
      </c>
      <c r="M38">
        <f>MONTH(table1[[#This Row],[Date]])</f>
        <v>4</v>
      </c>
      <c r="N38" t="str">
        <f>TEXT(table1[[#This Row],[Date]],"ddd")</f>
        <v>Tue</v>
      </c>
      <c r="O38" s="2">
        <f>table1[[#This Row],[Credit]]-table1[[#This Row],[Debit]]</f>
        <v>-300</v>
      </c>
    </row>
    <row r="39" spans="5:15" x14ac:dyDescent="0.25">
      <c r="E39" s="1">
        <v>44344</v>
      </c>
      <c r="F39" t="s">
        <v>62</v>
      </c>
      <c r="G39" s="2">
        <v>235</v>
      </c>
      <c r="H39" s="2"/>
      <c r="I39" t="s">
        <v>63</v>
      </c>
      <c r="J39" t="s">
        <v>32</v>
      </c>
      <c r="K39" t="s">
        <v>18</v>
      </c>
      <c r="L39" t="str">
        <f>TEXT(table1[[#This Row],[Date]],"MMM")</f>
        <v>May</v>
      </c>
      <c r="M39">
        <f>MONTH(table1[[#This Row],[Date]])</f>
        <v>5</v>
      </c>
      <c r="N39" t="str">
        <f>TEXT(table1[[#This Row],[Date]],"ddd")</f>
        <v>Fri</v>
      </c>
      <c r="O39" s="2">
        <f>table1[[#This Row],[Credit]]-table1[[#This Row],[Debit]]</f>
        <v>-235</v>
      </c>
    </row>
    <row r="40" spans="5:15" x14ac:dyDescent="0.25">
      <c r="E40" s="1">
        <v>44367</v>
      </c>
      <c r="F40" t="s">
        <v>25</v>
      </c>
      <c r="G40" s="2">
        <v>234</v>
      </c>
      <c r="H40" s="2"/>
      <c r="I40" t="s">
        <v>26</v>
      </c>
      <c r="J40" t="s">
        <v>21</v>
      </c>
      <c r="K40" t="s">
        <v>18</v>
      </c>
      <c r="L40" t="str">
        <f>TEXT(table1[[#This Row],[Date]],"MMM")</f>
        <v>Jun</v>
      </c>
      <c r="M40">
        <f>MONTH(table1[[#This Row],[Date]])</f>
        <v>6</v>
      </c>
      <c r="N40" t="str">
        <f>TEXT(table1[[#This Row],[Date]],"ddd")</f>
        <v>Sun</v>
      </c>
      <c r="O40" s="2">
        <f>table1[[#This Row],[Credit]]-table1[[#This Row],[Debit]]</f>
        <v>-234</v>
      </c>
    </row>
    <row r="41" spans="5:15" x14ac:dyDescent="0.25">
      <c r="E41" s="1">
        <v>44467</v>
      </c>
      <c r="F41" t="s">
        <v>25</v>
      </c>
      <c r="G41" s="2">
        <v>223</v>
      </c>
      <c r="H41" s="2"/>
      <c r="I41" t="s">
        <v>26</v>
      </c>
      <c r="J41" t="s">
        <v>21</v>
      </c>
      <c r="K41" t="s">
        <v>18</v>
      </c>
      <c r="L41" t="str">
        <f>TEXT(table1[[#This Row],[Date]],"MMM")</f>
        <v>Sep</v>
      </c>
      <c r="M41">
        <f>MONTH(table1[[#This Row],[Date]])</f>
        <v>9</v>
      </c>
      <c r="N41" t="str">
        <f>TEXT(table1[[#This Row],[Date]],"ddd")</f>
        <v>Tue</v>
      </c>
      <c r="O41" s="2">
        <f>table1[[#This Row],[Credit]]-table1[[#This Row],[Debit]]</f>
        <v>-223</v>
      </c>
    </row>
    <row r="42" spans="5:15" x14ac:dyDescent="0.25">
      <c r="E42" s="1">
        <v>44281</v>
      </c>
      <c r="F42" t="s">
        <v>25</v>
      </c>
      <c r="G42" s="2">
        <v>209</v>
      </c>
      <c r="H42" s="2"/>
      <c r="I42" t="s">
        <v>26</v>
      </c>
      <c r="J42" t="s">
        <v>21</v>
      </c>
      <c r="K42" t="s">
        <v>18</v>
      </c>
      <c r="L42" t="str">
        <f>TEXT(table1[[#This Row],[Date]],"MMM")</f>
        <v>Mar</v>
      </c>
      <c r="M42">
        <f>MONTH(table1[[#This Row],[Date]])</f>
        <v>3</v>
      </c>
      <c r="N42" t="str">
        <f>TEXT(table1[[#This Row],[Date]],"ddd")</f>
        <v>Fri</v>
      </c>
      <c r="O42" s="2">
        <f>table1[[#This Row],[Credit]]-table1[[#This Row],[Debit]]</f>
        <v>-209</v>
      </c>
    </row>
    <row r="43" spans="5:15" x14ac:dyDescent="0.25">
      <c r="E43" s="1">
        <v>44232</v>
      </c>
      <c r="F43" t="s">
        <v>25</v>
      </c>
      <c r="G43" s="2">
        <v>205</v>
      </c>
      <c r="H43" s="2"/>
      <c r="I43" t="s">
        <v>26</v>
      </c>
      <c r="J43" t="s">
        <v>21</v>
      </c>
      <c r="K43" t="s">
        <v>18</v>
      </c>
      <c r="L43" t="str">
        <f>TEXT(table1[[#This Row],[Date]],"MMM")</f>
        <v>Feb</v>
      </c>
      <c r="M43">
        <f>MONTH(table1[[#This Row],[Date]])</f>
        <v>2</v>
      </c>
      <c r="N43" t="str">
        <f>TEXT(table1[[#This Row],[Date]],"ddd")</f>
        <v>Fri</v>
      </c>
      <c r="O43" s="2">
        <f>table1[[#This Row],[Credit]]-table1[[#This Row],[Debit]]</f>
        <v>-205</v>
      </c>
    </row>
    <row r="44" spans="5:15" x14ac:dyDescent="0.25">
      <c r="E44" s="1">
        <v>44405</v>
      </c>
      <c r="F44" t="s">
        <v>25</v>
      </c>
      <c r="G44" s="2">
        <v>193</v>
      </c>
      <c r="H44" s="2"/>
      <c r="I44" t="s">
        <v>26</v>
      </c>
      <c r="J44" t="s">
        <v>21</v>
      </c>
      <c r="K44" t="s">
        <v>18</v>
      </c>
      <c r="L44" t="str">
        <f>TEXT(table1[[#This Row],[Date]],"MMM")</f>
        <v>Jul</v>
      </c>
      <c r="M44">
        <f>MONTH(table1[[#This Row],[Date]])</f>
        <v>7</v>
      </c>
      <c r="N44" t="str">
        <f>TEXT(table1[[#This Row],[Date]],"ddd")</f>
        <v>Wed</v>
      </c>
      <c r="O44" s="2">
        <f>table1[[#This Row],[Credit]]-table1[[#This Row],[Debit]]</f>
        <v>-193</v>
      </c>
    </row>
    <row r="45" spans="5:15" x14ac:dyDescent="0.25">
      <c r="E45" s="1">
        <v>44498</v>
      </c>
      <c r="F45" t="s">
        <v>25</v>
      </c>
      <c r="G45" s="2">
        <v>189</v>
      </c>
      <c r="H45" s="2"/>
      <c r="I45" t="s">
        <v>26</v>
      </c>
      <c r="J45" t="s">
        <v>21</v>
      </c>
      <c r="K45" t="s">
        <v>18</v>
      </c>
      <c r="L45" t="str">
        <f>TEXT(table1[[#This Row],[Date]],"MMM")</f>
        <v>Oct</v>
      </c>
      <c r="M45">
        <f>MONTH(table1[[#This Row],[Date]])</f>
        <v>10</v>
      </c>
      <c r="N45" t="str">
        <f>TEXT(table1[[#This Row],[Date]],"ddd")</f>
        <v>Fri</v>
      </c>
      <c r="O45" s="2">
        <f>table1[[#This Row],[Credit]]-table1[[#This Row],[Debit]]</f>
        <v>-189</v>
      </c>
    </row>
    <row r="46" spans="5:15" x14ac:dyDescent="0.25">
      <c r="E46" s="1">
        <v>44499</v>
      </c>
      <c r="F46" t="s">
        <v>54</v>
      </c>
      <c r="G46" s="2">
        <v>184.39999999999998</v>
      </c>
      <c r="H46" s="2"/>
      <c r="I46" t="s">
        <v>31</v>
      </c>
      <c r="J46" t="s">
        <v>32</v>
      </c>
      <c r="K46" t="s">
        <v>18</v>
      </c>
      <c r="L46" t="str">
        <f>TEXT(table1[[#This Row],[Date]],"MMM")</f>
        <v>Oct</v>
      </c>
      <c r="M46">
        <f>MONTH(table1[[#This Row],[Date]])</f>
        <v>10</v>
      </c>
      <c r="N46" t="str">
        <f>TEXT(table1[[#This Row],[Date]],"ddd")</f>
        <v>Sat</v>
      </c>
      <c r="O46" s="2">
        <f>table1[[#This Row],[Credit]]-table1[[#This Row],[Debit]]</f>
        <v>-184.39999999999998</v>
      </c>
    </row>
    <row r="47" spans="5:15" x14ac:dyDescent="0.25">
      <c r="E47" s="1">
        <v>44437</v>
      </c>
      <c r="F47" t="s">
        <v>54</v>
      </c>
      <c r="G47" s="2">
        <v>182.39999999999998</v>
      </c>
      <c r="H47" s="2"/>
      <c r="I47" t="s">
        <v>31</v>
      </c>
      <c r="J47" t="s">
        <v>32</v>
      </c>
      <c r="K47" t="s">
        <v>18</v>
      </c>
      <c r="L47" t="str">
        <f>TEXT(table1[[#This Row],[Date]],"MMM")</f>
        <v>Aug</v>
      </c>
      <c r="M47">
        <f>MONTH(table1[[#This Row],[Date]])</f>
        <v>8</v>
      </c>
      <c r="N47" t="str">
        <f>TEXT(table1[[#This Row],[Date]],"ddd")</f>
        <v>Sun</v>
      </c>
      <c r="O47" s="2">
        <f>table1[[#This Row],[Credit]]-table1[[#This Row],[Debit]]</f>
        <v>-182.39999999999998</v>
      </c>
    </row>
    <row r="48" spans="5:15" x14ac:dyDescent="0.25">
      <c r="E48" s="1">
        <v>44406</v>
      </c>
      <c r="F48" t="s">
        <v>62</v>
      </c>
      <c r="G48" s="2">
        <v>181.39999999999998</v>
      </c>
      <c r="H48" s="2"/>
      <c r="I48" t="s">
        <v>63</v>
      </c>
      <c r="J48" t="s">
        <v>32</v>
      </c>
      <c r="K48" t="s">
        <v>18</v>
      </c>
      <c r="L48" t="str">
        <f>TEXT(table1[[#This Row],[Date]],"MMM")</f>
        <v>Jul</v>
      </c>
      <c r="M48">
        <f>MONTH(table1[[#This Row],[Date]])</f>
        <v>7</v>
      </c>
      <c r="N48" t="str">
        <f>TEXT(table1[[#This Row],[Date]],"ddd")</f>
        <v>Thu</v>
      </c>
      <c r="O48" s="2">
        <f>table1[[#This Row],[Credit]]-table1[[#This Row],[Debit]]</f>
        <v>-181.39999999999998</v>
      </c>
    </row>
    <row r="49" spans="5:15" x14ac:dyDescent="0.25">
      <c r="E49" s="1">
        <v>44375</v>
      </c>
      <c r="F49" t="s">
        <v>54</v>
      </c>
      <c r="G49" s="2">
        <v>180.29999999999998</v>
      </c>
      <c r="H49" s="2"/>
      <c r="I49" t="s">
        <v>31</v>
      </c>
      <c r="J49" t="s">
        <v>32</v>
      </c>
      <c r="K49" t="s">
        <v>18</v>
      </c>
      <c r="L49" t="str">
        <f>TEXT(table1[[#This Row],[Date]],"MMM")</f>
        <v>Jun</v>
      </c>
      <c r="M49">
        <f>MONTH(table1[[#This Row],[Date]])</f>
        <v>6</v>
      </c>
      <c r="N49" t="str">
        <f>TEXT(table1[[#This Row],[Date]],"ddd")</f>
        <v>Mon</v>
      </c>
      <c r="O49" s="2">
        <f>table1[[#This Row],[Credit]]-table1[[#This Row],[Debit]]</f>
        <v>-180.29999999999998</v>
      </c>
    </row>
    <row r="50" spans="5:15" x14ac:dyDescent="0.25">
      <c r="E50" s="1">
        <v>44384</v>
      </c>
      <c r="F50" t="s">
        <v>25</v>
      </c>
      <c r="G50" s="2">
        <v>180</v>
      </c>
      <c r="H50" s="2"/>
      <c r="I50" t="s">
        <v>26</v>
      </c>
      <c r="J50" t="s">
        <v>21</v>
      </c>
      <c r="K50" t="s">
        <v>18</v>
      </c>
      <c r="L50" t="str">
        <f>TEXT(table1[[#This Row],[Date]],"MMM")</f>
        <v>Jul</v>
      </c>
      <c r="M50">
        <f>MONTH(table1[[#This Row],[Date]])</f>
        <v>7</v>
      </c>
      <c r="N50" t="str">
        <f>TEXT(table1[[#This Row],[Date]],"ddd")</f>
        <v>Wed</v>
      </c>
      <c r="O50" s="2">
        <f>table1[[#This Row],[Credit]]-table1[[#This Row],[Debit]]</f>
        <v>-180</v>
      </c>
    </row>
    <row r="51" spans="5:15" x14ac:dyDescent="0.25">
      <c r="E51" s="1">
        <v>44491</v>
      </c>
      <c r="F51" t="s">
        <v>25</v>
      </c>
      <c r="G51" s="2">
        <v>178.9</v>
      </c>
      <c r="H51" s="2"/>
      <c r="I51" t="s">
        <v>26</v>
      </c>
      <c r="J51" t="s">
        <v>21</v>
      </c>
      <c r="K51" t="s">
        <v>18</v>
      </c>
      <c r="L51" t="str">
        <f>TEXT(table1[[#This Row],[Date]],"MMM")</f>
        <v>Oct</v>
      </c>
      <c r="M51">
        <f>MONTH(table1[[#This Row],[Date]])</f>
        <v>10</v>
      </c>
      <c r="N51" t="str">
        <f>TEXT(table1[[#This Row],[Date]],"ddd")</f>
        <v>Fri</v>
      </c>
      <c r="O51" s="2">
        <f>table1[[#This Row],[Credit]]-table1[[#This Row],[Debit]]</f>
        <v>-178.9</v>
      </c>
    </row>
    <row r="52" spans="5:15" x14ac:dyDescent="0.25">
      <c r="E52" s="1">
        <v>44460</v>
      </c>
      <c r="F52" t="s">
        <v>25</v>
      </c>
      <c r="G52" s="2">
        <v>177.9</v>
      </c>
      <c r="H52" s="2"/>
      <c r="I52" t="s">
        <v>26</v>
      </c>
      <c r="J52" t="s">
        <v>21</v>
      </c>
      <c r="K52" t="s">
        <v>18</v>
      </c>
      <c r="L52" t="str">
        <f>TEXT(table1[[#This Row],[Date]],"MMM")</f>
        <v>Sep</v>
      </c>
      <c r="M52">
        <f>MONTH(table1[[#This Row],[Date]])</f>
        <v>9</v>
      </c>
      <c r="N52" t="str">
        <f>TEXT(table1[[#This Row],[Date]],"ddd")</f>
        <v>Tue</v>
      </c>
      <c r="O52" s="2">
        <f>table1[[#This Row],[Credit]]-table1[[#This Row],[Debit]]</f>
        <v>-177.9</v>
      </c>
    </row>
    <row r="53" spans="5:15" x14ac:dyDescent="0.25">
      <c r="E53" s="1">
        <v>44282</v>
      </c>
      <c r="F53" t="s">
        <v>59</v>
      </c>
      <c r="G53" s="2">
        <v>177.2</v>
      </c>
      <c r="H53" s="2"/>
      <c r="I53" t="s">
        <v>34</v>
      </c>
      <c r="J53" t="s">
        <v>32</v>
      </c>
      <c r="K53" t="s">
        <v>18</v>
      </c>
      <c r="L53" t="str">
        <f>TEXT(table1[[#This Row],[Date]],"MMM")</f>
        <v>Mar</v>
      </c>
      <c r="M53">
        <f>MONTH(table1[[#This Row],[Date]])</f>
        <v>3</v>
      </c>
      <c r="N53" t="str">
        <f>TEXT(table1[[#This Row],[Date]],"ddd")</f>
        <v>Sat</v>
      </c>
      <c r="O53" s="2">
        <f>table1[[#This Row],[Credit]]-table1[[#This Row],[Debit]]</f>
        <v>-177.2</v>
      </c>
    </row>
    <row r="54" spans="5:15" x14ac:dyDescent="0.25">
      <c r="E54" s="1">
        <v>44429</v>
      </c>
      <c r="F54" t="s">
        <v>25</v>
      </c>
      <c r="G54" s="2">
        <v>177</v>
      </c>
      <c r="H54" s="2"/>
      <c r="I54" t="s">
        <v>26</v>
      </c>
      <c r="J54" t="s">
        <v>21</v>
      </c>
      <c r="K54" t="s">
        <v>18</v>
      </c>
      <c r="L54" t="str">
        <f>TEXT(table1[[#This Row],[Date]],"MMM")</f>
        <v>Aug</v>
      </c>
      <c r="M54">
        <f>MONTH(table1[[#This Row],[Date]])</f>
        <v>8</v>
      </c>
      <c r="N54" t="str">
        <f>TEXT(table1[[#This Row],[Date]],"ddd")</f>
        <v>Sat</v>
      </c>
      <c r="O54" s="2">
        <f>table1[[#This Row],[Credit]]-table1[[#This Row],[Debit]]</f>
        <v>-177</v>
      </c>
    </row>
    <row r="55" spans="5:15" x14ac:dyDescent="0.25">
      <c r="E55" s="1">
        <v>44398</v>
      </c>
      <c r="F55" t="s">
        <v>25</v>
      </c>
      <c r="G55" s="2">
        <v>176</v>
      </c>
      <c r="H55" s="2"/>
      <c r="I55" t="s">
        <v>26</v>
      </c>
      <c r="J55" t="s">
        <v>21</v>
      </c>
      <c r="K55" t="s">
        <v>18</v>
      </c>
      <c r="L55" t="str">
        <f>TEXT(table1[[#This Row],[Date]],"MMM")</f>
        <v>Jul</v>
      </c>
      <c r="M55">
        <f>MONTH(table1[[#This Row],[Date]])</f>
        <v>7</v>
      </c>
      <c r="N55" t="str">
        <f>TEXT(table1[[#This Row],[Date]],"ddd")</f>
        <v>Wed</v>
      </c>
      <c r="O55" s="2">
        <f>table1[[#This Row],[Credit]]-table1[[#This Row],[Debit]]</f>
        <v>-176</v>
      </c>
    </row>
    <row r="56" spans="5:15" x14ac:dyDescent="0.25">
      <c r="E56" s="1">
        <v>44226</v>
      </c>
      <c r="F56" t="s">
        <v>54</v>
      </c>
      <c r="G56" s="2">
        <v>175</v>
      </c>
      <c r="H56" s="2"/>
      <c r="I56" t="s">
        <v>31</v>
      </c>
      <c r="J56" t="s">
        <v>32</v>
      </c>
      <c r="K56" t="s">
        <v>18</v>
      </c>
      <c r="L56" t="str">
        <f>TEXT(table1[[#This Row],[Date]],"MMM")</f>
        <v>Jan</v>
      </c>
      <c r="M56">
        <f>MONTH(table1[[#This Row],[Date]])</f>
        <v>1</v>
      </c>
      <c r="N56" t="str">
        <f>TEXT(table1[[#This Row],[Date]],"ddd")</f>
        <v>Sat</v>
      </c>
      <c r="O56" s="2">
        <f>table1[[#This Row],[Credit]]-table1[[#This Row],[Debit]]</f>
        <v>-175</v>
      </c>
    </row>
    <row r="57" spans="5:15" x14ac:dyDescent="0.25">
      <c r="E57" s="1">
        <v>44468</v>
      </c>
      <c r="F57" t="s">
        <v>55</v>
      </c>
      <c r="G57" s="2">
        <v>175</v>
      </c>
      <c r="H57" s="2"/>
      <c r="I57" t="s">
        <v>34</v>
      </c>
      <c r="J57" t="s">
        <v>32</v>
      </c>
      <c r="K57" t="s">
        <v>18</v>
      </c>
      <c r="L57" t="str">
        <f>TEXT(table1[[#This Row],[Date]],"MMM")</f>
        <v>Sep</v>
      </c>
      <c r="M57">
        <f>MONTH(table1[[#This Row],[Date]])</f>
        <v>9</v>
      </c>
      <c r="N57" t="str">
        <f>TEXT(table1[[#This Row],[Date]],"ddd")</f>
        <v>Wed</v>
      </c>
      <c r="O57" s="2">
        <f>table1[[#This Row],[Credit]]-table1[[#This Row],[Debit]]</f>
        <v>-175</v>
      </c>
    </row>
    <row r="58" spans="5:15" x14ac:dyDescent="0.25">
      <c r="E58" s="1">
        <v>44336</v>
      </c>
      <c r="F58" t="s">
        <v>25</v>
      </c>
      <c r="G58" s="2">
        <v>174</v>
      </c>
      <c r="H58" s="2"/>
      <c r="I58" t="s">
        <v>26</v>
      </c>
      <c r="J58" t="s">
        <v>21</v>
      </c>
      <c r="K58" t="s">
        <v>18</v>
      </c>
      <c r="L58" t="str">
        <f>TEXT(table1[[#This Row],[Date]],"MMM")</f>
        <v>May</v>
      </c>
      <c r="M58">
        <f>MONTH(table1[[#This Row],[Date]])</f>
        <v>5</v>
      </c>
      <c r="N58" t="str">
        <f>TEXT(table1[[#This Row],[Date]],"ddd")</f>
        <v>Thu</v>
      </c>
      <c r="O58" s="2">
        <f>table1[[#This Row],[Credit]]-table1[[#This Row],[Debit]]</f>
        <v>-174</v>
      </c>
    </row>
    <row r="59" spans="5:15" x14ac:dyDescent="0.25">
      <c r="E59" s="1">
        <v>44305</v>
      </c>
      <c r="F59" t="s">
        <v>25</v>
      </c>
      <c r="G59" s="2">
        <v>173</v>
      </c>
      <c r="H59" s="2"/>
      <c r="I59" t="s">
        <v>26</v>
      </c>
      <c r="J59" t="s">
        <v>21</v>
      </c>
      <c r="K59" t="s">
        <v>18</v>
      </c>
      <c r="L59" t="str">
        <f>TEXT(table1[[#This Row],[Date]],"MMM")</f>
        <v>Apr</v>
      </c>
      <c r="M59">
        <f>MONTH(table1[[#This Row],[Date]])</f>
        <v>4</v>
      </c>
      <c r="N59" t="str">
        <f>TEXT(table1[[#This Row],[Date]],"ddd")</f>
        <v>Mon</v>
      </c>
      <c r="O59" s="2">
        <f>table1[[#This Row],[Credit]]-table1[[#This Row],[Debit]]</f>
        <v>-173</v>
      </c>
    </row>
    <row r="60" spans="5:15" x14ac:dyDescent="0.25">
      <c r="E60" s="1">
        <v>44274</v>
      </c>
      <c r="F60" t="s">
        <v>25</v>
      </c>
      <c r="G60" s="2">
        <v>171.9</v>
      </c>
      <c r="H60" s="2"/>
      <c r="I60" t="s">
        <v>26</v>
      </c>
      <c r="J60" t="s">
        <v>21</v>
      </c>
      <c r="K60" t="s">
        <v>18</v>
      </c>
      <c r="L60" t="str">
        <f>TEXT(table1[[#This Row],[Date]],"MMM")</f>
        <v>Mar</v>
      </c>
      <c r="M60">
        <f>MONTH(table1[[#This Row],[Date]])</f>
        <v>3</v>
      </c>
      <c r="N60" t="str">
        <f>TEXT(table1[[#This Row],[Date]],"ddd")</f>
        <v>Fri</v>
      </c>
      <c r="O60" s="2">
        <f>table1[[#This Row],[Credit]]-table1[[#This Row],[Debit]]</f>
        <v>-171.9</v>
      </c>
    </row>
    <row r="61" spans="5:15" x14ac:dyDescent="0.25">
      <c r="E61" s="1">
        <v>44246</v>
      </c>
      <c r="F61" t="s">
        <v>25</v>
      </c>
      <c r="G61" s="2">
        <v>171</v>
      </c>
      <c r="H61" s="2"/>
      <c r="I61" t="s">
        <v>26</v>
      </c>
      <c r="J61" t="s">
        <v>21</v>
      </c>
      <c r="K61" t="s">
        <v>18</v>
      </c>
      <c r="L61" t="str">
        <f>TEXT(table1[[#This Row],[Date]],"MMM")</f>
        <v>Feb</v>
      </c>
      <c r="M61">
        <f>MONTH(table1[[#This Row],[Date]])</f>
        <v>2</v>
      </c>
      <c r="N61" t="str">
        <f>TEXT(table1[[#This Row],[Date]],"ddd")</f>
        <v>Fri</v>
      </c>
      <c r="O61" s="2">
        <f>table1[[#This Row],[Credit]]-table1[[#This Row],[Debit]]</f>
        <v>-171</v>
      </c>
    </row>
    <row r="62" spans="5:15" x14ac:dyDescent="0.25">
      <c r="E62" s="1">
        <v>44218</v>
      </c>
      <c r="F62" t="s">
        <v>25</v>
      </c>
      <c r="G62" s="2">
        <v>170</v>
      </c>
      <c r="H62" s="2"/>
      <c r="I62" t="s">
        <v>26</v>
      </c>
      <c r="J62" t="s">
        <v>21</v>
      </c>
      <c r="K62" t="s">
        <v>18</v>
      </c>
      <c r="L62" t="str">
        <f>TEXT(table1[[#This Row],[Date]],"MMM")</f>
        <v>Jan</v>
      </c>
      <c r="M62">
        <f>MONTH(table1[[#This Row],[Date]])</f>
        <v>1</v>
      </c>
      <c r="N62" t="str">
        <f>TEXT(table1[[#This Row],[Date]],"ddd")</f>
        <v>Fri</v>
      </c>
      <c r="O62" s="2">
        <f>table1[[#This Row],[Credit]]-table1[[#This Row],[Debit]]</f>
        <v>-170</v>
      </c>
    </row>
    <row r="63" spans="5:15" x14ac:dyDescent="0.25">
      <c r="E63" s="1">
        <v>44322</v>
      </c>
      <c r="F63" t="s">
        <v>25</v>
      </c>
      <c r="G63" s="2">
        <v>170</v>
      </c>
      <c r="H63" s="2"/>
      <c r="I63" t="s">
        <v>26</v>
      </c>
      <c r="J63" t="s">
        <v>21</v>
      </c>
      <c r="K63" t="s">
        <v>18</v>
      </c>
      <c r="L63" t="str">
        <f>TEXT(table1[[#This Row],[Date]],"MMM")</f>
        <v>May</v>
      </c>
      <c r="M63">
        <f>MONTH(table1[[#This Row],[Date]])</f>
        <v>5</v>
      </c>
      <c r="N63" t="str">
        <f>TEXT(table1[[#This Row],[Date]],"ddd")</f>
        <v>Thu</v>
      </c>
      <c r="O63" s="2">
        <f>table1[[#This Row],[Credit]]-table1[[#This Row],[Debit]]</f>
        <v>-170</v>
      </c>
    </row>
    <row r="64" spans="5:15" x14ac:dyDescent="0.25">
      <c r="E64" s="1">
        <v>44374</v>
      </c>
      <c r="F64" t="s">
        <v>25</v>
      </c>
      <c r="G64" s="2">
        <v>166.9</v>
      </c>
      <c r="H64" s="2"/>
      <c r="I64" t="s">
        <v>26</v>
      </c>
      <c r="J64" t="s">
        <v>21</v>
      </c>
      <c r="K64" t="s">
        <v>18</v>
      </c>
      <c r="L64" t="str">
        <f>TEXT(table1[[#This Row],[Date]],"MMM")</f>
        <v>Jun</v>
      </c>
      <c r="M64">
        <f>MONTH(table1[[#This Row],[Date]])</f>
        <v>6</v>
      </c>
      <c r="N64" t="str">
        <f>TEXT(table1[[#This Row],[Date]],"ddd")</f>
        <v>Sun</v>
      </c>
      <c r="O64" s="2">
        <f>table1[[#This Row],[Credit]]-table1[[#This Row],[Debit]]</f>
        <v>-166.9</v>
      </c>
    </row>
    <row r="65" spans="5:15" x14ac:dyDescent="0.25">
      <c r="E65" s="1">
        <v>44343</v>
      </c>
      <c r="F65" t="s">
        <v>25</v>
      </c>
      <c r="G65" s="2">
        <v>165.8</v>
      </c>
      <c r="H65" s="2"/>
      <c r="I65" t="s">
        <v>26</v>
      </c>
      <c r="J65" t="s">
        <v>21</v>
      </c>
      <c r="K65" t="s">
        <v>18</v>
      </c>
      <c r="L65" t="str">
        <f>TEXT(table1[[#This Row],[Date]],"MMM")</f>
        <v>May</v>
      </c>
      <c r="M65">
        <f>MONTH(table1[[#This Row],[Date]])</f>
        <v>5</v>
      </c>
      <c r="N65" t="str">
        <f>TEXT(table1[[#This Row],[Date]],"ddd")</f>
        <v>Thu</v>
      </c>
      <c r="O65" s="2">
        <f>table1[[#This Row],[Credit]]-table1[[#This Row],[Debit]]</f>
        <v>-165.8</v>
      </c>
    </row>
    <row r="66" spans="5:15" x14ac:dyDescent="0.25">
      <c r="E66" s="1">
        <v>44312</v>
      </c>
      <c r="F66" t="s">
        <v>25</v>
      </c>
      <c r="G66" s="2">
        <v>164.9</v>
      </c>
      <c r="H66" s="2"/>
      <c r="I66" t="s">
        <v>26</v>
      </c>
      <c r="J66" t="s">
        <v>21</v>
      </c>
      <c r="K66" t="s">
        <v>18</v>
      </c>
      <c r="L66" t="str">
        <f>TEXT(table1[[#This Row],[Date]],"MMM")</f>
        <v>Apr</v>
      </c>
      <c r="M66">
        <f>MONTH(table1[[#This Row],[Date]])</f>
        <v>4</v>
      </c>
      <c r="N66" t="str">
        <f>TEXT(table1[[#This Row],[Date]],"ddd")</f>
        <v>Mon</v>
      </c>
      <c r="O66" s="2">
        <f>table1[[#This Row],[Credit]]-table1[[#This Row],[Debit]]</f>
        <v>-164.9</v>
      </c>
    </row>
    <row r="67" spans="5:15" x14ac:dyDescent="0.25">
      <c r="E67" s="1">
        <v>44446</v>
      </c>
      <c r="F67" t="s">
        <v>25</v>
      </c>
      <c r="G67" s="2">
        <v>163.39999999999998</v>
      </c>
      <c r="H67" s="2"/>
      <c r="I67" t="s">
        <v>26</v>
      </c>
      <c r="J67" t="s">
        <v>21</v>
      </c>
      <c r="K67" t="s">
        <v>18</v>
      </c>
      <c r="L67" t="str">
        <f>TEXT(table1[[#This Row],[Date]],"MMM")</f>
        <v>Sep</v>
      </c>
      <c r="M67">
        <f>MONTH(table1[[#This Row],[Date]])</f>
        <v>9</v>
      </c>
      <c r="N67" t="str">
        <f>TEXT(table1[[#This Row],[Date]],"ddd")</f>
        <v>Tue</v>
      </c>
      <c r="O67" s="2">
        <f>table1[[#This Row],[Credit]]-table1[[#This Row],[Debit]]</f>
        <v>-163.39999999999998</v>
      </c>
    </row>
    <row r="68" spans="5:15" x14ac:dyDescent="0.25">
      <c r="E68" s="1">
        <v>44253</v>
      </c>
      <c r="F68" t="s">
        <v>25</v>
      </c>
      <c r="G68" s="2">
        <v>162.9</v>
      </c>
      <c r="H68" s="2"/>
      <c r="I68" t="s">
        <v>26</v>
      </c>
      <c r="J68" t="s">
        <v>21</v>
      </c>
      <c r="K68" t="s">
        <v>18</v>
      </c>
      <c r="L68" t="str">
        <f>TEXT(table1[[#This Row],[Date]],"MMM")</f>
        <v>Feb</v>
      </c>
      <c r="M68">
        <f>MONTH(table1[[#This Row],[Date]])</f>
        <v>2</v>
      </c>
      <c r="N68" t="str">
        <f>TEXT(table1[[#This Row],[Date]],"ddd")</f>
        <v>Fri</v>
      </c>
      <c r="O68" s="2">
        <f>table1[[#This Row],[Credit]]-table1[[#This Row],[Debit]]</f>
        <v>-162.9</v>
      </c>
    </row>
    <row r="69" spans="5:15" x14ac:dyDescent="0.25">
      <c r="E69" s="1">
        <v>44225</v>
      </c>
      <c r="F69" t="s">
        <v>25</v>
      </c>
      <c r="G69" s="2">
        <v>162</v>
      </c>
      <c r="H69" s="2"/>
      <c r="I69" t="s">
        <v>26</v>
      </c>
      <c r="J69" t="s">
        <v>21</v>
      </c>
      <c r="K69" t="s">
        <v>18</v>
      </c>
      <c r="L69" t="str">
        <f>TEXT(table1[[#This Row],[Date]],"MMM")</f>
        <v>Jan</v>
      </c>
      <c r="M69">
        <f>MONTH(table1[[#This Row],[Date]])</f>
        <v>1</v>
      </c>
      <c r="N69" t="str">
        <f>TEXT(table1[[#This Row],[Date]],"ddd")</f>
        <v>Fri</v>
      </c>
      <c r="O69" s="2">
        <f>table1[[#This Row],[Credit]]-table1[[#This Row],[Debit]]</f>
        <v>-162</v>
      </c>
    </row>
    <row r="70" spans="5:15" x14ac:dyDescent="0.25">
      <c r="E70" s="1">
        <v>44291</v>
      </c>
      <c r="F70" t="s">
        <v>25</v>
      </c>
      <c r="G70" s="2">
        <v>158.19999999999999</v>
      </c>
      <c r="H70" s="2"/>
      <c r="I70" t="s">
        <v>26</v>
      </c>
      <c r="J70" t="s">
        <v>21</v>
      </c>
      <c r="K70" t="s">
        <v>18</v>
      </c>
      <c r="L70" t="str">
        <f>TEXT(table1[[#This Row],[Date]],"MMM")</f>
        <v>Apr</v>
      </c>
      <c r="M70">
        <f>MONTH(table1[[#This Row],[Date]])</f>
        <v>4</v>
      </c>
      <c r="N70" t="str">
        <f>TEXT(table1[[#This Row],[Date]],"ddd")</f>
        <v>Mon</v>
      </c>
      <c r="O70" s="2">
        <f>table1[[#This Row],[Credit]]-table1[[#This Row],[Debit]]</f>
        <v>-158.19999999999999</v>
      </c>
    </row>
    <row r="71" spans="5:15" x14ac:dyDescent="0.25">
      <c r="E71" s="1">
        <v>44204</v>
      </c>
      <c r="F71" t="s">
        <v>25</v>
      </c>
      <c r="G71" s="2">
        <v>155</v>
      </c>
      <c r="H71" s="2"/>
      <c r="I71" t="s">
        <v>26</v>
      </c>
      <c r="J71" t="s">
        <v>21</v>
      </c>
      <c r="K71" t="s">
        <v>18</v>
      </c>
      <c r="L71" t="str">
        <f>TEXT(table1[[#This Row],[Date]],"MMM")</f>
        <v>Jan</v>
      </c>
      <c r="M71">
        <f>MONTH(table1[[#This Row],[Date]])</f>
        <v>1</v>
      </c>
      <c r="N71" t="str">
        <f>TEXT(table1[[#This Row],[Date]],"ddd")</f>
        <v>Fri</v>
      </c>
      <c r="O71" s="2">
        <f>table1[[#This Row],[Credit]]-table1[[#This Row],[Debit]]</f>
        <v>-155</v>
      </c>
    </row>
    <row r="72" spans="5:15" x14ac:dyDescent="0.25">
      <c r="E72" s="1">
        <v>44500</v>
      </c>
      <c r="F72" t="s">
        <v>33</v>
      </c>
      <c r="G72" s="2">
        <v>154.49999999999997</v>
      </c>
      <c r="H72" s="2"/>
      <c r="I72" t="s">
        <v>34</v>
      </c>
      <c r="J72" t="s">
        <v>32</v>
      </c>
      <c r="K72" t="s">
        <v>18</v>
      </c>
      <c r="L72" t="str">
        <f>TEXT(table1[[#This Row],[Date]],"MMM")</f>
        <v>Oct</v>
      </c>
      <c r="M72">
        <f>MONTH(table1[[#This Row],[Date]])</f>
        <v>10</v>
      </c>
      <c r="N72" t="str">
        <f>TEXT(table1[[#This Row],[Date]],"ddd")</f>
        <v>Sun</v>
      </c>
      <c r="O72" s="2">
        <f>table1[[#This Row],[Credit]]-table1[[#This Row],[Debit]]</f>
        <v>-154.49999999999997</v>
      </c>
    </row>
    <row r="73" spans="5:15" x14ac:dyDescent="0.25">
      <c r="E73" s="1">
        <v>44469</v>
      </c>
      <c r="F73" t="s">
        <v>33</v>
      </c>
      <c r="G73" s="2">
        <v>153.39999999999998</v>
      </c>
      <c r="H73" s="2"/>
      <c r="I73" t="s">
        <v>34</v>
      </c>
      <c r="J73" t="s">
        <v>32</v>
      </c>
      <c r="K73" t="s">
        <v>18</v>
      </c>
      <c r="L73" t="str">
        <f>TEXT(table1[[#This Row],[Date]],"MMM")</f>
        <v>Sep</v>
      </c>
      <c r="M73">
        <f>MONTH(table1[[#This Row],[Date]])</f>
        <v>9</v>
      </c>
      <c r="N73" t="str">
        <f>TEXT(table1[[#This Row],[Date]],"ddd")</f>
        <v>Thu</v>
      </c>
      <c r="O73" s="2">
        <f>table1[[#This Row],[Credit]]-table1[[#This Row],[Debit]]</f>
        <v>-153.39999999999998</v>
      </c>
    </row>
    <row r="74" spans="5:15" x14ac:dyDescent="0.25">
      <c r="E74" s="1">
        <v>44438</v>
      </c>
      <c r="F74" t="s">
        <v>33</v>
      </c>
      <c r="G74" s="2">
        <v>152.29999999999998</v>
      </c>
      <c r="H74" s="2"/>
      <c r="I74" t="s">
        <v>34</v>
      </c>
      <c r="J74" t="s">
        <v>32</v>
      </c>
      <c r="K74" t="s">
        <v>18</v>
      </c>
      <c r="L74" t="str">
        <f>TEXT(table1[[#This Row],[Date]],"MMM")</f>
        <v>Aug</v>
      </c>
      <c r="M74">
        <f>MONTH(table1[[#This Row],[Date]])</f>
        <v>8</v>
      </c>
      <c r="N74" t="str">
        <f>TEXT(table1[[#This Row],[Date]],"ddd")</f>
        <v>Mon</v>
      </c>
      <c r="O74" s="2">
        <f>table1[[#This Row],[Credit]]-table1[[#This Row],[Debit]]</f>
        <v>-152.29999999999998</v>
      </c>
    </row>
    <row r="75" spans="5:15" x14ac:dyDescent="0.25">
      <c r="E75" s="1">
        <v>44407</v>
      </c>
      <c r="F75" t="s">
        <v>33</v>
      </c>
      <c r="G75" s="2">
        <v>151.19999999999999</v>
      </c>
      <c r="H75" s="2"/>
      <c r="I75" t="s">
        <v>34</v>
      </c>
      <c r="J75" t="s">
        <v>32</v>
      </c>
      <c r="K75" t="s">
        <v>18</v>
      </c>
      <c r="L75" t="str">
        <f>TEXT(table1[[#This Row],[Date]],"MMM")</f>
        <v>Jul</v>
      </c>
      <c r="M75">
        <f>MONTH(table1[[#This Row],[Date]])</f>
        <v>7</v>
      </c>
      <c r="N75" t="str">
        <f>TEXT(table1[[#This Row],[Date]],"ddd")</f>
        <v>Fri</v>
      </c>
      <c r="O75" s="2">
        <f>table1[[#This Row],[Credit]]-table1[[#This Row],[Debit]]</f>
        <v>-151.19999999999999</v>
      </c>
    </row>
    <row r="76" spans="5:15" x14ac:dyDescent="0.25">
      <c r="E76" s="1">
        <v>44376</v>
      </c>
      <c r="F76" t="s">
        <v>33</v>
      </c>
      <c r="G76" s="2">
        <v>150.1</v>
      </c>
      <c r="H76" s="2"/>
      <c r="I76" t="s">
        <v>34</v>
      </c>
      <c r="J76" t="s">
        <v>32</v>
      </c>
      <c r="K76" t="s">
        <v>18</v>
      </c>
      <c r="L76" t="str">
        <f>TEXT(table1[[#This Row],[Date]],"MMM")</f>
        <v>Jun</v>
      </c>
      <c r="M76">
        <f>MONTH(table1[[#This Row],[Date]])</f>
        <v>6</v>
      </c>
      <c r="N76" t="str">
        <f>TEXT(table1[[#This Row],[Date]],"ddd")</f>
        <v>Tue</v>
      </c>
      <c r="O76" s="2">
        <f>table1[[#This Row],[Credit]]-table1[[#This Row],[Debit]]</f>
        <v>-150.1</v>
      </c>
    </row>
    <row r="77" spans="5:15" x14ac:dyDescent="0.25">
      <c r="E77" s="1">
        <v>44201</v>
      </c>
      <c r="F77" t="s">
        <v>22</v>
      </c>
      <c r="G77" s="2">
        <v>150</v>
      </c>
      <c r="H77" s="2"/>
      <c r="I77" t="s">
        <v>23</v>
      </c>
      <c r="J77" t="s">
        <v>24</v>
      </c>
      <c r="K77" t="s">
        <v>18</v>
      </c>
      <c r="L77" t="str">
        <f>TEXT(table1[[#This Row],[Date]],"MMM")</f>
        <v>Jan</v>
      </c>
      <c r="M77">
        <f>MONTH(table1[[#This Row],[Date]])</f>
        <v>1</v>
      </c>
      <c r="N77" t="str">
        <f>TEXT(table1[[#This Row],[Date]],"ddd")</f>
        <v>Tue</v>
      </c>
      <c r="O77" s="2">
        <f>table1[[#This Row],[Credit]]-table1[[#This Row],[Debit]]</f>
        <v>-150</v>
      </c>
    </row>
    <row r="78" spans="5:15" x14ac:dyDescent="0.25">
      <c r="E78" s="1">
        <v>44229</v>
      </c>
      <c r="F78" t="s">
        <v>22</v>
      </c>
      <c r="G78" s="2">
        <v>150</v>
      </c>
      <c r="H78" s="2"/>
      <c r="I78" t="s">
        <v>23</v>
      </c>
      <c r="J78" t="s">
        <v>24</v>
      </c>
      <c r="K78" t="s">
        <v>18</v>
      </c>
      <c r="L78" t="str">
        <f>TEXT(table1[[#This Row],[Date]],"MMM")</f>
        <v>Feb</v>
      </c>
      <c r="M78">
        <f>MONTH(table1[[#This Row],[Date]])</f>
        <v>2</v>
      </c>
      <c r="N78" t="str">
        <f>TEXT(table1[[#This Row],[Date]],"ddd")</f>
        <v>Tue</v>
      </c>
      <c r="O78" s="2">
        <f>table1[[#This Row],[Credit]]-table1[[#This Row],[Debit]]</f>
        <v>-150</v>
      </c>
    </row>
    <row r="79" spans="5:15" x14ac:dyDescent="0.25">
      <c r="E79" s="1">
        <v>44257</v>
      </c>
      <c r="F79" t="s">
        <v>22</v>
      </c>
      <c r="G79" s="2">
        <v>150</v>
      </c>
      <c r="H79" s="2"/>
      <c r="I79" t="s">
        <v>23</v>
      </c>
      <c r="J79" t="s">
        <v>24</v>
      </c>
      <c r="K79" t="s">
        <v>18</v>
      </c>
      <c r="L79" t="str">
        <f>TEXT(table1[[#This Row],[Date]],"MMM")</f>
        <v>Mar</v>
      </c>
      <c r="M79">
        <f>MONTH(table1[[#This Row],[Date]])</f>
        <v>3</v>
      </c>
      <c r="N79" t="str">
        <f>TEXT(table1[[#This Row],[Date]],"ddd")</f>
        <v>Tue</v>
      </c>
      <c r="O79" s="2">
        <f>table1[[#This Row],[Credit]]-table1[[#This Row],[Debit]]</f>
        <v>-150</v>
      </c>
    </row>
    <row r="80" spans="5:15" x14ac:dyDescent="0.25">
      <c r="E80" s="1">
        <v>44288</v>
      </c>
      <c r="F80" t="s">
        <v>22</v>
      </c>
      <c r="G80" s="2">
        <v>150</v>
      </c>
      <c r="H80" s="2"/>
      <c r="I80" t="s">
        <v>23</v>
      </c>
      <c r="J80" t="s">
        <v>24</v>
      </c>
      <c r="K80" t="s">
        <v>18</v>
      </c>
      <c r="L80" t="str">
        <f>TEXT(table1[[#This Row],[Date]],"MMM")</f>
        <v>Apr</v>
      </c>
      <c r="M80">
        <f>MONTH(table1[[#This Row],[Date]])</f>
        <v>4</v>
      </c>
      <c r="N80" t="str">
        <f>TEXT(table1[[#This Row],[Date]],"ddd")</f>
        <v>Fri</v>
      </c>
      <c r="O80" s="2">
        <f>table1[[#This Row],[Credit]]-table1[[#This Row],[Debit]]</f>
        <v>-150</v>
      </c>
    </row>
    <row r="81" spans="5:15" x14ac:dyDescent="0.25">
      <c r="E81" s="1">
        <v>44319</v>
      </c>
      <c r="F81" t="s">
        <v>22</v>
      </c>
      <c r="G81" s="2">
        <v>150</v>
      </c>
      <c r="H81" s="2"/>
      <c r="I81" t="s">
        <v>23</v>
      </c>
      <c r="J81" t="s">
        <v>24</v>
      </c>
      <c r="K81" t="s">
        <v>18</v>
      </c>
      <c r="L81" t="str">
        <f>TEXT(table1[[#This Row],[Date]],"MMM")</f>
        <v>May</v>
      </c>
      <c r="M81">
        <f>MONTH(table1[[#This Row],[Date]])</f>
        <v>5</v>
      </c>
      <c r="N81" t="str">
        <f>TEXT(table1[[#This Row],[Date]],"ddd")</f>
        <v>Mon</v>
      </c>
      <c r="O81" s="2">
        <f>table1[[#This Row],[Credit]]-table1[[#This Row],[Debit]]</f>
        <v>-150</v>
      </c>
    </row>
    <row r="82" spans="5:15" x14ac:dyDescent="0.25">
      <c r="E82" s="1">
        <v>44350</v>
      </c>
      <c r="F82" t="s">
        <v>22</v>
      </c>
      <c r="G82" s="2">
        <v>150</v>
      </c>
      <c r="H82" s="2"/>
      <c r="I82" t="s">
        <v>23</v>
      </c>
      <c r="J82" t="s">
        <v>24</v>
      </c>
      <c r="K82" t="s">
        <v>18</v>
      </c>
      <c r="L82" t="str">
        <f>TEXT(table1[[#This Row],[Date]],"MMM")</f>
        <v>Jun</v>
      </c>
      <c r="M82">
        <f>MONTH(table1[[#This Row],[Date]])</f>
        <v>6</v>
      </c>
      <c r="N82" t="str">
        <f>TEXT(table1[[#This Row],[Date]],"ddd")</f>
        <v>Thu</v>
      </c>
      <c r="O82" s="2">
        <f>table1[[#This Row],[Credit]]-table1[[#This Row],[Debit]]</f>
        <v>-150</v>
      </c>
    </row>
    <row r="83" spans="5:15" x14ac:dyDescent="0.25">
      <c r="E83" s="1">
        <v>44382</v>
      </c>
      <c r="F83" t="s">
        <v>22</v>
      </c>
      <c r="G83" s="2">
        <v>150</v>
      </c>
      <c r="H83" s="2"/>
      <c r="I83" t="s">
        <v>23</v>
      </c>
      <c r="J83" t="s">
        <v>24</v>
      </c>
      <c r="K83" t="s">
        <v>18</v>
      </c>
      <c r="L83" t="str">
        <f>TEXT(table1[[#This Row],[Date]],"MMM")</f>
        <v>Jul</v>
      </c>
      <c r="M83">
        <f>MONTH(table1[[#This Row],[Date]])</f>
        <v>7</v>
      </c>
      <c r="N83" t="str">
        <f>TEXT(table1[[#This Row],[Date]],"ddd")</f>
        <v>Mon</v>
      </c>
      <c r="O83" s="2">
        <f>table1[[#This Row],[Credit]]-table1[[#This Row],[Debit]]</f>
        <v>-150</v>
      </c>
    </row>
    <row r="84" spans="5:15" x14ac:dyDescent="0.25">
      <c r="E84" s="1">
        <v>44413</v>
      </c>
      <c r="F84" t="s">
        <v>22</v>
      </c>
      <c r="G84" s="2">
        <v>150</v>
      </c>
      <c r="H84" s="2"/>
      <c r="I84" t="s">
        <v>23</v>
      </c>
      <c r="J84" t="s">
        <v>24</v>
      </c>
      <c r="K84" t="s">
        <v>18</v>
      </c>
      <c r="L84" t="str">
        <f>TEXT(table1[[#This Row],[Date]],"MMM")</f>
        <v>Aug</v>
      </c>
      <c r="M84">
        <f>MONTH(table1[[#This Row],[Date]])</f>
        <v>8</v>
      </c>
      <c r="N84" t="str">
        <f>TEXT(table1[[#This Row],[Date]],"ddd")</f>
        <v>Thu</v>
      </c>
      <c r="O84" s="2">
        <f>table1[[#This Row],[Credit]]-table1[[#This Row],[Debit]]</f>
        <v>-150</v>
      </c>
    </row>
    <row r="85" spans="5:15" x14ac:dyDescent="0.25">
      <c r="E85" s="1">
        <v>44444</v>
      </c>
      <c r="F85" t="s">
        <v>22</v>
      </c>
      <c r="G85" s="2">
        <v>150</v>
      </c>
      <c r="H85" s="2"/>
      <c r="I85" t="s">
        <v>23</v>
      </c>
      <c r="J85" t="s">
        <v>24</v>
      </c>
      <c r="K85" t="s">
        <v>18</v>
      </c>
      <c r="L85" t="str">
        <f>TEXT(table1[[#This Row],[Date]],"MMM")</f>
        <v>Sep</v>
      </c>
      <c r="M85">
        <f>MONTH(table1[[#This Row],[Date]])</f>
        <v>9</v>
      </c>
      <c r="N85" t="str">
        <f>TEXT(table1[[#This Row],[Date]],"ddd")</f>
        <v>Sun</v>
      </c>
      <c r="O85" s="2">
        <f>table1[[#This Row],[Credit]]-table1[[#This Row],[Debit]]</f>
        <v>-150</v>
      </c>
    </row>
    <row r="86" spans="5:15" x14ac:dyDescent="0.25">
      <c r="E86" s="1">
        <v>44475</v>
      </c>
      <c r="F86" t="s">
        <v>22</v>
      </c>
      <c r="G86" s="2">
        <v>150</v>
      </c>
      <c r="H86" s="2"/>
      <c r="I86" t="s">
        <v>23</v>
      </c>
      <c r="J86" t="s">
        <v>24</v>
      </c>
      <c r="K86" t="s">
        <v>18</v>
      </c>
      <c r="L86" t="str">
        <f>TEXT(table1[[#This Row],[Date]],"MMM")</f>
        <v>Oct</v>
      </c>
      <c r="M86">
        <f>MONTH(table1[[#This Row],[Date]])</f>
        <v>10</v>
      </c>
      <c r="N86" t="str">
        <f>TEXT(table1[[#This Row],[Date]],"ddd")</f>
        <v>Wed</v>
      </c>
      <c r="O86" s="2">
        <f>table1[[#This Row],[Credit]]-table1[[#This Row],[Debit]]</f>
        <v>-150</v>
      </c>
    </row>
    <row r="87" spans="5:15" x14ac:dyDescent="0.25">
      <c r="E87" s="1">
        <v>44345</v>
      </c>
      <c r="F87" t="s">
        <v>33</v>
      </c>
      <c r="G87" s="2">
        <v>149.19999999999999</v>
      </c>
      <c r="H87" s="2"/>
      <c r="I87" t="s">
        <v>34</v>
      </c>
      <c r="J87" t="s">
        <v>32</v>
      </c>
      <c r="K87" t="s">
        <v>18</v>
      </c>
      <c r="L87" t="str">
        <f>TEXT(table1[[#This Row],[Date]],"MMM")</f>
        <v>May</v>
      </c>
      <c r="M87">
        <f>MONTH(table1[[#This Row],[Date]])</f>
        <v>5</v>
      </c>
      <c r="N87" t="str">
        <f>TEXT(table1[[#This Row],[Date]],"ddd")</f>
        <v>Sat</v>
      </c>
      <c r="O87" s="2">
        <f>table1[[#This Row],[Credit]]-table1[[#This Row],[Debit]]</f>
        <v>-149.19999999999999</v>
      </c>
    </row>
    <row r="88" spans="5:15" x14ac:dyDescent="0.25">
      <c r="E88" s="1">
        <v>44260</v>
      </c>
      <c r="F88" t="s">
        <v>25</v>
      </c>
      <c r="G88" s="2">
        <v>149</v>
      </c>
      <c r="H88" s="2"/>
      <c r="I88" t="s">
        <v>26</v>
      </c>
      <c r="J88" t="s">
        <v>21</v>
      </c>
      <c r="K88" t="s">
        <v>18</v>
      </c>
      <c r="L88" t="str">
        <f>TEXT(table1[[#This Row],[Date]],"MMM")</f>
        <v>Mar</v>
      </c>
      <c r="M88">
        <f>MONTH(table1[[#This Row],[Date]])</f>
        <v>3</v>
      </c>
      <c r="N88" t="str">
        <f>TEXT(table1[[#This Row],[Date]],"ddd")</f>
        <v>Fri</v>
      </c>
      <c r="O88" s="2">
        <f>table1[[#This Row],[Credit]]-table1[[#This Row],[Debit]]</f>
        <v>-149</v>
      </c>
    </row>
    <row r="89" spans="5:15" x14ac:dyDescent="0.25">
      <c r="E89" s="1">
        <v>44314</v>
      </c>
      <c r="F89" t="s">
        <v>33</v>
      </c>
      <c r="G89" s="2">
        <v>148.1</v>
      </c>
      <c r="H89" s="2"/>
      <c r="I89" t="s">
        <v>34</v>
      </c>
      <c r="J89" t="s">
        <v>32</v>
      </c>
      <c r="K89" t="s">
        <v>18</v>
      </c>
      <c r="L89" t="str">
        <f>TEXT(table1[[#This Row],[Date]],"MMM")</f>
        <v>Apr</v>
      </c>
      <c r="M89">
        <f>MONTH(table1[[#This Row],[Date]])</f>
        <v>4</v>
      </c>
      <c r="N89" t="str">
        <f>TEXT(table1[[#This Row],[Date]],"ddd")</f>
        <v>Wed</v>
      </c>
      <c r="O89" s="2">
        <f>table1[[#This Row],[Credit]]-table1[[#This Row],[Debit]]</f>
        <v>-148.1</v>
      </c>
    </row>
    <row r="90" spans="5:15" x14ac:dyDescent="0.25">
      <c r="E90" s="1">
        <v>44283</v>
      </c>
      <c r="F90" t="s">
        <v>33</v>
      </c>
      <c r="G90" s="2">
        <v>147.1</v>
      </c>
      <c r="H90" s="2"/>
      <c r="I90" t="s">
        <v>34</v>
      </c>
      <c r="J90" t="s">
        <v>32</v>
      </c>
      <c r="K90" t="s">
        <v>18</v>
      </c>
      <c r="L90" t="str">
        <f>TEXT(table1[[#This Row],[Date]],"MMM")</f>
        <v>Mar</v>
      </c>
      <c r="M90">
        <f>MONTH(table1[[#This Row],[Date]])</f>
        <v>3</v>
      </c>
      <c r="N90" t="str">
        <f>TEXT(table1[[#This Row],[Date]],"ddd")</f>
        <v>Sun</v>
      </c>
      <c r="O90" s="2">
        <f>table1[[#This Row],[Credit]]-table1[[#This Row],[Debit]]</f>
        <v>-147.1</v>
      </c>
    </row>
    <row r="91" spans="5:15" x14ac:dyDescent="0.25">
      <c r="E91" s="1">
        <v>44255</v>
      </c>
      <c r="F91" t="s">
        <v>33</v>
      </c>
      <c r="G91" s="2">
        <v>146.1</v>
      </c>
      <c r="H91" s="2"/>
      <c r="I91" t="s">
        <v>34</v>
      </c>
      <c r="J91" t="s">
        <v>32</v>
      </c>
      <c r="K91" t="s">
        <v>18</v>
      </c>
      <c r="L91" t="str">
        <f>TEXT(table1[[#This Row],[Date]],"MMM")</f>
        <v>Feb</v>
      </c>
      <c r="M91">
        <f>MONTH(table1[[#This Row],[Date]])</f>
        <v>2</v>
      </c>
      <c r="N91" t="str">
        <f>TEXT(table1[[#This Row],[Date]],"ddd")</f>
        <v>Sun</v>
      </c>
      <c r="O91" s="2">
        <f>table1[[#This Row],[Credit]]-table1[[#This Row],[Debit]]</f>
        <v>-146.1</v>
      </c>
    </row>
    <row r="92" spans="5:15" x14ac:dyDescent="0.25">
      <c r="E92" s="1">
        <v>44227</v>
      </c>
      <c r="F92" t="s">
        <v>33</v>
      </c>
      <c r="G92" s="2">
        <v>145</v>
      </c>
      <c r="H92" s="2"/>
      <c r="I92" t="s">
        <v>34</v>
      </c>
      <c r="J92" t="s">
        <v>32</v>
      </c>
      <c r="K92" t="s">
        <v>18</v>
      </c>
      <c r="L92" t="str">
        <f>TEXT(table1[[#This Row],[Date]],"MMM")</f>
        <v>Jan</v>
      </c>
      <c r="M92">
        <f>MONTH(table1[[#This Row],[Date]])</f>
        <v>1</v>
      </c>
      <c r="N92" t="str">
        <f>TEXT(table1[[#This Row],[Date]],"ddd")</f>
        <v>Sun</v>
      </c>
      <c r="O92" s="2">
        <f>table1[[#This Row],[Credit]]-table1[[#This Row],[Debit]]</f>
        <v>-145</v>
      </c>
    </row>
    <row r="93" spans="5:15" x14ac:dyDescent="0.25">
      <c r="E93" s="1">
        <v>44484</v>
      </c>
      <c r="F93" t="s">
        <v>25</v>
      </c>
      <c r="G93" s="2">
        <v>143.9</v>
      </c>
      <c r="H93" s="2"/>
      <c r="I93" t="s">
        <v>26</v>
      </c>
      <c r="J93" t="s">
        <v>21</v>
      </c>
      <c r="K93" t="s">
        <v>18</v>
      </c>
      <c r="L93" t="str">
        <f>TEXT(table1[[#This Row],[Date]],"MMM")</f>
        <v>Oct</v>
      </c>
      <c r="M93">
        <f>MONTH(table1[[#This Row],[Date]])</f>
        <v>10</v>
      </c>
      <c r="N93" t="str">
        <f>TEXT(table1[[#This Row],[Date]],"ddd")</f>
        <v>Fri</v>
      </c>
      <c r="O93" s="2">
        <f>table1[[#This Row],[Credit]]-table1[[#This Row],[Debit]]</f>
        <v>-143.9</v>
      </c>
    </row>
    <row r="94" spans="5:15" x14ac:dyDescent="0.25">
      <c r="E94" s="1">
        <v>44453</v>
      </c>
      <c r="F94" t="s">
        <v>25</v>
      </c>
      <c r="G94" s="2">
        <v>143</v>
      </c>
      <c r="H94" s="2"/>
      <c r="I94" t="s">
        <v>26</v>
      </c>
      <c r="J94" t="s">
        <v>21</v>
      </c>
      <c r="K94" t="s">
        <v>18</v>
      </c>
      <c r="L94" t="str">
        <f>TEXT(table1[[#This Row],[Date]],"MMM")</f>
        <v>Sep</v>
      </c>
      <c r="M94">
        <f>MONTH(table1[[#This Row],[Date]])</f>
        <v>9</v>
      </c>
      <c r="N94" t="str">
        <f>TEXT(table1[[#This Row],[Date]],"ddd")</f>
        <v>Tue</v>
      </c>
      <c r="O94" s="2">
        <f>table1[[#This Row],[Credit]]-table1[[#This Row],[Debit]]</f>
        <v>-143</v>
      </c>
    </row>
    <row r="95" spans="5:15" x14ac:dyDescent="0.25">
      <c r="E95" s="1">
        <v>44422</v>
      </c>
      <c r="F95" t="s">
        <v>25</v>
      </c>
      <c r="G95" s="2">
        <v>142.1</v>
      </c>
      <c r="H95" s="2"/>
      <c r="I95" t="s">
        <v>26</v>
      </c>
      <c r="J95" t="s">
        <v>21</v>
      </c>
      <c r="K95" t="s">
        <v>18</v>
      </c>
      <c r="L95" t="str">
        <f>TEXT(table1[[#This Row],[Date]],"MMM")</f>
        <v>Aug</v>
      </c>
      <c r="M95">
        <f>MONTH(table1[[#This Row],[Date]])</f>
        <v>8</v>
      </c>
      <c r="N95" t="str">
        <f>TEXT(table1[[#This Row],[Date]],"ddd")</f>
        <v>Sat</v>
      </c>
      <c r="O95" s="2">
        <f>table1[[#This Row],[Credit]]-table1[[#This Row],[Debit]]</f>
        <v>-142.1</v>
      </c>
    </row>
    <row r="96" spans="5:15" x14ac:dyDescent="0.25">
      <c r="E96" s="1">
        <v>44391</v>
      </c>
      <c r="F96" t="s">
        <v>25</v>
      </c>
      <c r="G96" s="2">
        <v>141.1</v>
      </c>
      <c r="H96" s="2"/>
      <c r="I96" t="s">
        <v>26</v>
      </c>
      <c r="J96" t="s">
        <v>21</v>
      </c>
      <c r="K96" t="s">
        <v>18</v>
      </c>
      <c r="L96" t="str">
        <f>TEXT(table1[[#This Row],[Date]],"MMM")</f>
        <v>Jul</v>
      </c>
      <c r="M96">
        <f>MONTH(table1[[#This Row],[Date]])</f>
        <v>7</v>
      </c>
      <c r="N96" t="str">
        <f>TEXT(table1[[#This Row],[Date]],"ddd")</f>
        <v>Wed</v>
      </c>
      <c r="O96" s="2">
        <f>table1[[#This Row],[Credit]]-table1[[#This Row],[Debit]]</f>
        <v>-141.1</v>
      </c>
    </row>
    <row r="97" spans="5:15" x14ac:dyDescent="0.25">
      <c r="E97" s="1">
        <v>44360</v>
      </c>
      <c r="F97" t="s">
        <v>25</v>
      </c>
      <c r="G97" s="2">
        <v>140.19999999999999</v>
      </c>
      <c r="H97" s="2"/>
      <c r="I97" t="s">
        <v>26</v>
      </c>
      <c r="J97" t="s">
        <v>21</v>
      </c>
      <c r="K97" t="s">
        <v>18</v>
      </c>
      <c r="L97" t="str">
        <f>TEXT(table1[[#This Row],[Date]],"MMM")</f>
        <v>Jun</v>
      </c>
      <c r="M97">
        <f>MONTH(table1[[#This Row],[Date]])</f>
        <v>6</v>
      </c>
      <c r="N97" t="str">
        <f>TEXT(table1[[#This Row],[Date]],"ddd")</f>
        <v>Sun</v>
      </c>
      <c r="O97" s="2">
        <f>table1[[#This Row],[Credit]]-table1[[#This Row],[Debit]]</f>
        <v>-140.19999999999999</v>
      </c>
    </row>
    <row r="98" spans="5:15" x14ac:dyDescent="0.25">
      <c r="E98" s="1">
        <v>44329</v>
      </c>
      <c r="F98" t="s">
        <v>25</v>
      </c>
      <c r="G98" s="2">
        <v>139.1</v>
      </c>
      <c r="H98" s="2"/>
      <c r="I98" t="s">
        <v>26</v>
      </c>
      <c r="J98" t="s">
        <v>21</v>
      </c>
      <c r="K98" t="s">
        <v>18</v>
      </c>
      <c r="L98" t="str">
        <f>TEXT(table1[[#This Row],[Date]],"MMM")</f>
        <v>May</v>
      </c>
      <c r="M98">
        <f>MONTH(table1[[#This Row],[Date]])</f>
        <v>5</v>
      </c>
      <c r="N98" t="str">
        <f>TEXT(table1[[#This Row],[Date]],"ddd")</f>
        <v>Thu</v>
      </c>
      <c r="O98" s="2">
        <f>table1[[#This Row],[Credit]]-table1[[#This Row],[Debit]]</f>
        <v>-139.1</v>
      </c>
    </row>
    <row r="99" spans="5:15" x14ac:dyDescent="0.25">
      <c r="E99" s="1">
        <v>44254</v>
      </c>
      <c r="F99" t="s">
        <v>55</v>
      </c>
      <c r="G99" s="2">
        <v>137</v>
      </c>
      <c r="H99" s="2"/>
      <c r="I99" t="s">
        <v>34</v>
      </c>
      <c r="J99" t="s">
        <v>32</v>
      </c>
      <c r="K99" t="s">
        <v>18</v>
      </c>
      <c r="L99" t="str">
        <f>TEXT(table1[[#This Row],[Date]],"MMM")</f>
        <v>Feb</v>
      </c>
      <c r="M99">
        <f>MONTH(table1[[#This Row],[Date]])</f>
        <v>2</v>
      </c>
      <c r="N99" t="str">
        <f>TEXT(table1[[#This Row],[Date]],"ddd")</f>
        <v>Sat</v>
      </c>
      <c r="O99" s="2">
        <f>table1[[#This Row],[Credit]]-table1[[#This Row],[Debit]]</f>
        <v>-137</v>
      </c>
    </row>
    <row r="100" spans="5:15" x14ac:dyDescent="0.25">
      <c r="E100" s="1">
        <v>44267</v>
      </c>
      <c r="F100" t="s">
        <v>25</v>
      </c>
      <c r="G100" s="2">
        <v>137</v>
      </c>
      <c r="H100" s="2"/>
      <c r="I100" t="s">
        <v>26</v>
      </c>
      <c r="J100" t="s">
        <v>21</v>
      </c>
      <c r="K100" t="s">
        <v>18</v>
      </c>
      <c r="L100" t="str">
        <f>TEXT(table1[[#This Row],[Date]],"MMM")</f>
        <v>Mar</v>
      </c>
      <c r="M100">
        <f>MONTH(table1[[#This Row],[Date]])</f>
        <v>3</v>
      </c>
      <c r="N100" t="str">
        <f>TEXT(table1[[#This Row],[Date]],"ddd")</f>
        <v>Fri</v>
      </c>
      <c r="O100" s="2">
        <f>table1[[#This Row],[Credit]]-table1[[#This Row],[Debit]]</f>
        <v>-137</v>
      </c>
    </row>
    <row r="101" spans="5:15" x14ac:dyDescent="0.25">
      <c r="E101" s="1">
        <v>44415</v>
      </c>
      <c r="F101" t="s">
        <v>25</v>
      </c>
      <c r="G101" s="2">
        <v>137</v>
      </c>
      <c r="H101" s="2"/>
      <c r="I101" t="s">
        <v>26</v>
      </c>
      <c r="J101" t="s">
        <v>21</v>
      </c>
      <c r="K101" t="s">
        <v>18</v>
      </c>
      <c r="L101" t="str">
        <f>TEXT(table1[[#This Row],[Date]],"MMM")</f>
        <v>Aug</v>
      </c>
      <c r="M101">
        <f>MONTH(table1[[#This Row],[Date]])</f>
        <v>8</v>
      </c>
      <c r="N101" t="str">
        <f>TEXT(table1[[#This Row],[Date]],"ddd")</f>
        <v>Sat</v>
      </c>
      <c r="O101" s="2">
        <f>table1[[#This Row],[Credit]]-table1[[#This Row],[Debit]]</f>
        <v>-137</v>
      </c>
    </row>
    <row r="102" spans="5:15" x14ac:dyDescent="0.25">
      <c r="E102" s="1">
        <v>44239</v>
      </c>
      <c r="F102" t="s">
        <v>25</v>
      </c>
      <c r="G102" s="2">
        <v>135.9</v>
      </c>
      <c r="H102" s="2"/>
      <c r="I102" t="s">
        <v>26</v>
      </c>
      <c r="J102" t="s">
        <v>21</v>
      </c>
      <c r="K102" t="s">
        <v>18</v>
      </c>
      <c r="L102" t="str">
        <f>TEXT(table1[[#This Row],[Date]],"MMM")</f>
        <v>Feb</v>
      </c>
      <c r="M102">
        <f>MONTH(table1[[#This Row],[Date]])</f>
        <v>2</v>
      </c>
      <c r="N102" t="str">
        <f>TEXT(table1[[#This Row],[Date]],"ddd")</f>
        <v>Fri</v>
      </c>
      <c r="O102" s="2">
        <f>table1[[#This Row],[Credit]]-table1[[#This Row],[Debit]]</f>
        <v>-135.9</v>
      </c>
    </row>
    <row r="103" spans="5:15" x14ac:dyDescent="0.25">
      <c r="E103" s="1">
        <v>44211</v>
      </c>
      <c r="F103" t="s">
        <v>25</v>
      </c>
      <c r="G103" s="2">
        <v>135</v>
      </c>
      <c r="H103" s="2"/>
      <c r="I103" t="s">
        <v>26</v>
      </c>
      <c r="J103" t="s">
        <v>21</v>
      </c>
      <c r="K103" t="s">
        <v>18</v>
      </c>
      <c r="L103" t="str">
        <f>TEXT(table1[[#This Row],[Date]],"MMM")</f>
        <v>Jan</v>
      </c>
      <c r="M103">
        <f>MONTH(table1[[#This Row],[Date]])</f>
        <v>1</v>
      </c>
      <c r="N103" t="str">
        <f>TEXT(table1[[#This Row],[Date]],"ddd")</f>
        <v>Fri</v>
      </c>
      <c r="O103" s="2">
        <f>table1[[#This Row],[Credit]]-table1[[#This Row],[Debit]]</f>
        <v>-135</v>
      </c>
    </row>
    <row r="104" spans="5:15" x14ac:dyDescent="0.25">
      <c r="E104" s="1">
        <v>44499</v>
      </c>
      <c r="F104" t="s">
        <v>53</v>
      </c>
      <c r="G104" s="2">
        <v>133.80000000000001</v>
      </c>
      <c r="H104" s="2"/>
      <c r="I104" t="s">
        <v>34</v>
      </c>
      <c r="J104" t="s">
        <v>32</v>
      </c>
      <c r="K104" t="s">
        <v>18</v>
      </c>
      <c r="L104" t="str">
        <f>TEXT(table1[[#This Row],[Date]],"MMM")</f>
        <v>Oct</v>
      </c>
      <c r="M104">
        <f>MONTH(table1[[#This Row],[Date]])</f>
        <v>10</v>
      </c>
      <c r="N104" t="str">
        <f>TEXT(table1[[#This Row],[Date]],"ddd")</f>
        <v>Sat</v>
      </c>
      <c r="O104" s="2">
        <f>table1[[#This Row],[Credit]]-table1[[#This Row],[Debit]]</f>
        <v>-133.80000000000001</v>
      </c>
    </row>
    <row r="105" spans="5:15" x14ac:dyDescent="0.25">
      <c r="E105" s="1">
        <v>44468</v>
      </c>
      <c r="F105" t="s">
        <v>53</v>
      </c>
      <c r="G105" s="2">
        <v>132.9</v>
      </c>
      <c r="H105" s="2"/>
      <c r="I105" t="s">
        <v>34</v>
      </c>
      <c r="J105" t="s">
        <v>32</v>
      </c>
      <c r="K105" t="s">
        <v>18</v>
      </c>
      <c r="L105" t="str">
        <f>TEXT(table1[[#This Row],[Date]],"MMM")</f>
        <v>Sep</v>
      </c>
      <c r="M105">
        <f>MONTH(table1[[#This Row],[Date]])</f>
        <v>9</v>
      </c>
      <c r="N105" t="str">
        <f>TEXT(table1[[#This Row],[Date]],"ddd")</f>
        <v>Wed</v>
      </c>
      <c r="O105" s="2">
        <f>table1[[#This Row],[Credit]]-table1[[#This Row],[Debit]]</f>
        <v>-132.9</v>
      </c>
    </row>
    <row r="106" spans="5:15" x14ac:dyDescent="0.25">
      <c r="E106" s="1">
        <v>44437</v>
      </c>
      <c r="F106" t="s">
        <v>53</v>
      </c>
      <c r="G106" s="2">
        <v>131.9</v>
      </c>
      <c r="H106" s="2"/>
      <c r="I106" t="s">
        <v>34</v>
      </c>
      <c r="J106" t="s">
        <v>32</v>
      </c>
      <c r="K106" t="s">
        <v>18</v>
      </c>
      <c r="L106" t="str">
        <f>TEXT(table1[[#This Row],[Date]],"MMM")</f>
        <v>Aug</v>
      </c>
      <c r="M106">
        <f>MONTH(table1[[#This Row],[Date]])</f>
        <v>8</v>
      </c>
      <c r="N106" t="str">
        <f>TEXT(table1[[#This Row],[Date]],"ddd")</f>
        <v>Sun</v>
      </c>
      <c r="O106" s="2">
        <f>table1[[#This Row],[Credit]]-table1[[#This Row],[Debit]]</f>
        <v>-131.9</v>
      </c>
    </row>
    <row r="107" spans="5:15" x14ac:dyDescent="0.25">
      <c r="E107" s="1">
        <v>44406</v>
      </c>
      <c r="F107" t="s">
        <v>53</v>
      </c>
      <c r="G107" s="2">
        <v>130.80000000000001</v>
      </c>
      <c r="H107" s="2"/>
      <c r="I107" t="s">
        <v>34</v>
      </c>
      <c r="J107" t="s">
        <v>32</v>
      </c>
      <c r="K107" t="s">
        <v>18</v>
      </c>
      <c r="L107" t="str">
        <f>TEXT(table1[[#This Row],[Date]],"MMM")</f>
        <v>Jul</v>
      </c>
      <c r="M107">
        <f>MONTH(table1[[#This Row],[Date]])</f>
        <v>7</v>
      </c>
      <c r="N107" t="str">
        <f>TEXT(table1[[#This Row],[Date]],"ddd")</f>
        <v>Thu</v>
      </c>
      <c r="O107" s="2">
        <f>table1[[#This Row],[Credit]]-table1[[#This Row],[Debit]]</f>
        <v>-130.80000000000001</v>
      </c>
    </row>
    <row r="108" spans="5:15" x14ac:dyDescent="0.25">
      <c r="E108" s="1">
        <v>44375</v>
      </c>
      <c r="F108" t="s">
        <v>53</v>
      </c>
      <c r="G108" s="2">
        <v>129.9</v>
      </c>
      <c r="H108" s="2"/>
      <c r="I108" t="s">
        <v>34</v>
      </c>
      <c r="J108" t="s">
        <v>32</v>
      </c>
      <c r="K108" t="s">
        <v>18</v>
      </c>
      <c r="L108" t="str">
        <f>TEXT(table1[[#This Row],[Date]],"MMM")</f>
        <v>Jun</v>
      </c>
      <c r="M108">
        <f>MONTH(table1[[#This Row],[Date]])</f>
        <v>6</v>
      </c>
      <c r="N108" t="str">
        <f>TEXT(table1[[#This Row],[Date]],"ddd")</f>
        <v>Mon</v>
      </c>
      <c r="O108" s="2">
        <f>table1[[#This Row],[Credit]]-table1[[#This Row],[Debit]]</f>
        <v>-129.9</v>
      </c>
    </row>
    <row r="109" spans="5:15" x14ac:dyDescent="0.25">
      <c r="E109" s="1">
        <v>44344</v>
      </c>
      <c r="F109" t="s">
        <v>53</v>
      </c>
      <c r="G109" s="2">
        <v>128.80000000000001</v>
      </c>
      <c r="H109" s="2"/>
      <c r="I109" t="s">
        <v>34</v>
      </c>
      <c r="J109" t="s">
        <v>32</v>
      </c>
      <c r="K109" t="s">
        <v>18</v>
      </c>
      <c r="L109" t="str">
        <f>TEXT(table1[[#This Row],[Date]],"MMM")</f>
        <v>May</v>
      </c>
      <c r="M109">
        <f>MONTH(table1[[#This Row],[Date]])</f>
        <v>5</v>
      </c>
      <c r="N109" t="str">
        <f>TEXT(table1[[#This Row],[Date]],"ddd")</f>
        <v>Fri</v>
      </c>
      <c r="O109" s="2">
        <f>table1[[#This Row],[Credit]]-table1[[#This Row],[Debit]]</f>
        <v>-128.80000000000001</v>
      </c>
    </row>
    <row r="110" spans="5:15" x14ac:dyDescent="0.25">
      <c r="E110" s="1">
        <v>44313</v>
      </c>
      <c r="F110" t="s">
        <v>53</v>
      </c>
      <c r="G110" s="2">
        <v>127.9</v>
      </c>
      <c r="H110" s="2"/>
      <c r="I110" t="s">
        <v>34</v>
      </c>
      <c r="J110" t="s">
        <v>32</v>
      </c>
      <c r="K110" t="s">
        <v>18</v>
      </c>
      <c r="L110" t="str">
        <f>TEXT(table1[[#This Row],[Date]],"MMM")</f>
        <v>Apr</v>
      </c>
      <c r="M110">
        <f>MONTH(table1[[#This Row],[Date]])</f>
        <v>4</v>
      </c>
      <c r="N110" t="str">
        <f>TEXT(table1[[#This Row],[Date]],"ddd")</f>
        <v>Tue</v>
      </c>
      <c r="O110" s="2">
        <f>table1[[#This Row],[Credit]]-table1[[#This Row],[Debit]]</f>
        <v>-127.9</v>
      </c>
    </row>
    <row r="111" spans="5:15" x14ac:dyDescent="0.25">
      <c r="E111" s="1">
        <v>44282</v>
      </c>
      <c r="F111" t="s">
        <v>53</v>
      </c>
      <c r="G111" s="2">
        <v>127</v>
      </c>
      <c r="H111" s="2"/>
      <c r="I111" t="s">
        <v>34</v>
      </c>
      <c r="J111" t="s">
        <v>32</v>
      </c>
      <c r="K111" t="s">
        <v>18</v>
      </c>
      <c r="L111" t="str">
        <f>TEXT(table1[[#This Row],[Date]],"MMM")</f>
        <v>Mar</v>
      </c>
      <c r="M111">
        <f>MONTH(table1[[#This Row],[Date]])</f>
        <v>3</v>
      </c>
      <c r="N111" t="str">
        <f>TEXT(table1[[#This Row],[Date]],"ddd")</f>
        <v>Sat</v>
      </c>
      <c r="O111" s="2">
        <f>table1[[#This Row],[Credit]]-table1[[#This Row],[Debit]]</f>
        <v>-127</v>
      </c>
    </row>
    <row r="112" spans="5:15" x14ac:dyDescent="0.25">
      <c r="E112" s="1">
        <v>44254</v>
      </c>
      <c r="F112" t="s">
        <v>53</v>
      </c>
      <c r="G112" s="2">
        <v>125.9</v>
      </c>
      <c r="H112" s="2"/>
      <c r="I112" t="s">
        <v>34</v>
      </c>
      <c r="J112" t="s">
        <v>32</v>
      </c>
      <c r="K112" t="s">
        <v>18</v>
      </c>
      <c r="L112" t="str">
        <f>TEXT(table1[[#This Row],[Date]],"MMM")</f>
        <v>Feb</v>
      </c>
      <c r="M112">
        <f>MONTH(table1[[#This Row],[Date]])</f>
        <v>2</v>
      </c>
      <c r="N112" t="str">
        <f>TEXT(table1[[#This Row],[Date]],"ddd")</f>
        <v>Sat</v>
      </c>
      <c r="O112" s="2">
        <f>table1[[#This Row],[Credit]]-table1[[#This Row],[Debit]]</f>
        <v>-125.9</v>
      </c>
    </row>
    <row r="113" spans="5:15" x14ac:dyDescent="0.25">
      <c r="E113" s="1">
        <v>44226</v>
      </c>
      <c r="F113" t="s">
        <v>53</v>
      </c>
      <c r="G113" s="2">
        <v>125</v>
      </c>
      <c r="H113" s="2"/>
      <c r="I113" t="s">
        <v>34</v>
      </c>
      <c r="J113" t="s">
        <v>32</v>
      </c>
      <c r="K113" t="s">
        <v>18</v>
      </c>
      <c r="L113" t="str">
        <f>TEXT(table1[[#This Row],[Date]],"MMM")</f>
        <v>Jan</v>
      </c>
      <c r="M113">
        <f>MONTH(table1[[#This Row],[Date]])</f>
        <v>1</v>
      </c>
      <c r="N113" t="str">
        <f>TEXT(table1[[#This Row],[Date]],"ddd")</f>
        <v>Sat</v>
      </c>
      <c r="O113" s="2">
        <f>table1[[#This Row],[Credit]]-table1[[#This Row],[Debit]]</f>
        <v>-125</v>
      </c>
    </row>
    <row r="114" spans="5:15" x14ac:dyDescent="0.25">
      <c r="E114" s="1">
        <v>44353</v>
      </c>
      <c r="F114" t="s">
        <v>25</v>
      </c>
      <c r="G114" s="2">
        <v>119</v>
      </c>
      <c r="H114" s="2"/>
      <c r="I114" t="s">
        <v>26</v>
      </c>
      <c r="J114" t="s">
        <v>21</v>
      </c>
      <c r="K114" t="s">
        <v>18</v>
      </c>
      <c r="L114" t="str">
        <f>TEXT(table1[[#This Row],[Date]],"MMM")</f>
        <v>Jun</v>
      </c>
      <c r="M114">
        <f>MONTH(table1[[#This Row],[Date]])</f>
        <v>6</v>
      </c>
      <c r="N114" t="str">
        <f>TEXT(table1[[#This Row],[Date]],"ddd")</f>
        <v>Sun</v>
      </c>
      <c r="O114" s="2">
        <f>table1[[#This Row],[Credit]]-table1[[#This Row],[Debit]]</f>
        <v>-119</v>
      </c>
    </row>
    <row r="115" spans="5:15" x14ac:dyDescent="0.25">
      <c r="E115" s="1">
        <v>44436</v>
      </c>
      <c r="F115" t="s">
        <v>25</v>
      </c>
      <c r="G115" s="2">
        <v>117</v>
      </c>
      <c r="H115" s="2"/>
      <c r="I115" t="s">
        <v>26</v>
      </c>
      <c r="J115" t="s">
        <v>21</v>
      </c>
      <c r="K115" t="s">
        <v>18</v>
      </c>
      <c r="L115" t="str">
        <f>TEXT(table1[[#This Row],[Date]],"MMM")</f>
        <v>Aug</v>
      </c>
      <c r="M115">
        <f>MONTH(table1[[#This Row],[Date]])</f>
        <v>8</v>
      </c>
      <c r="N115" t="str">
        <f>TEXT(table1[[#This Row],[Date]],"ddd")</f>
        <v>Sat</v>
      </c>
      <c r="O115" s="2">
        <f>table1[[#This Row],[Credit]]-table1[[#This Row],[Debit]]</f>
        <v>-117</v>
      </c>
    </row>
    <row r="116" spans="5:15" x14ac:dyDescent="0.25">
      <c r="E116" s="1">
        <v>44485</v>
      </c>
      <c r="F116" t="s">
        <v>33</v>
      </c>
      <c r="G116" s="2">
        <v>106.70000000000002</v>
      </c>
      <c r="H116" s="2"/>
      <c r="I116" t="s">
        <v>34</v>
      </c>
      <c r="J116" t="s">
        <v>32</v>
      </c>
      <c r="K116" t="s">
        <v>18</v>
      </c>
      <c r="L116" t="str">
        <f>TEXT(table1[[#This Row],[Date]],"MMM")</f>
        <v>Oct</v>
      </c>
      <c r="M116">
        <f>MONTH(table1[[#This Row],[Date]])</f>
        <v>10</v>
      </c>
      <c r="N116" t="str">
        <f>TEXT(table1[[#This Row],[Date]],"ddd")</f>
        <v>Sat</v>
      </c>
      <c r="O116" s="2">
        <f>table1[[#This Row],[Credit]]-table1[[#This Row],[Debit]]</f>
        <v>-106.70000000000002</v>
      </c>
    </row>
    <row r="117" spans="5:15" x14ac:dyDescent="0.25">
      <c r="E117" s="1">
        <v>44454</v>
      </c>
      <c r="F117" t="s">
        <v>33</v>
      </c>
      <c r="G117" s="2">
        <v>105.80000000000001</v>
      </c>
      <c r="H117" s="2"/>
      <c r="I117" t="s">
        <v>34</v>
      </c>
      <c r="J117" t="s">
        <v>32</v>
      </c>
      <c r="K117" t="s">
        <v>18</v>
      </c>
      <c r="L117" t="str">
        <f>TEXT(table1[[#This Row],[Date]],"MMM")</f>
        <v>Sep</v>
      </c>
      <c r="M117">
        <f>MONTH(table1[[#This Row],[Date]])</f>
        <v>9</v>
      </c>
      <c r="N117" t="str">
        <f>TEXT(table1[[#This Row],[Date]],"ddd")</f>
        <v>Wed</v>
      </c>
      <c r="O117" s="2">
        <f>table1[[#This Row],[Credit]]-table1[[#This Row],[Debit]]</f>
        <v>-105.80000000000001</v>
      </c>
    </row>
    <row r="118" spans="5:15" x14ac:dyDescent="0.25">
      <c r="E118" s="1">
        <v>44477</v>
      </c>
      <c r="F118" t="s">
        <v>25</v>
      </c>
      <c r="G118" s="2">
        <v>105</v>
      </c>
      <c r="H118" s="2"/>
      <c r="I118" t="s">
        <v>26</v>
      </c>
      <c r="J118" t="s">
        <v>21</v>
      </c>
      <c r="K118" t="s">
        <v>18</v>
      </c>
      <c r="L118" t="str">
        <f>TEXT(table1[[#This Row],[Date]],"MMM")</f>
        <v>Oct</v>
      </c>
      <c r="M118">
        <f>MONTH(table1[[#This Row],[Date]])</f>
        <v>10</v>
      </c>
      <c r="N118" t="str">
        <f>TEXT(table1[[#This Row],[Date]],"ddd")</f>
        <v>Fri</v>
      </c>
      <c r="O118" s="2">
        <f>table1[[#This Row],[Credit]]-table1[[#This Row],[Debit]]</f>
        <v>-105</v>
      </c>
    </row>
    <row r="119" spans="5:15" x14ac:dyDescent="0.25">
      <c r="E119" s="1">
        <v>44423</v>
      </c>
      <c r="F119" t="s">
        <v>33</v>
      </c>
      <c r="G119" s="2">
        <v>104.70000000000002</v>
      </c>
      <c r="H119" s="2"/>
      <c r="I119" t="s">
        <v>34</v>
      </c>
      <c r="J119" t="s">
        <v>32</v>
      </c>
      <c r="K119" t="s">
        <v>18</v>
      </c>
      <c r="L119" t="str">
        <f>TEXT(table1[[#This Row],[Date]],"MMM")</f>
        <v>Aug</v>
      </c>
      <c r="M119">
        <f>MONTH(table1[[#This Row],[Date]])</f>
        <v>8</v>
      </c>
      <c r="N119" t="str">
        <f>TEXT(table1[[#This Row],[Date]],"ddd")</f>
        <v>Sun</v>
      </c>
      <c r="O119" s="2">
        <f>table1[[#This Row],[Credit]]-table1[[#This Row],[Debit]]</f>
        <v>-104.70000000000002</v>
      </c>
    </row>
    <row r="120" spans="5:15" x14ac:dyDescent="0.25">
      <c r="E120" s="1">
        <v>44392</v>
      </c>
      <c r="F120" t="s">
        <v>33</v>
      </c>
      <c r="G120" s="2">
        <v>103.80000000000001</v>
      </c>
      <c r="H120" s="2"/>
      <c r="I120" t="s">
        <v>34</v>
      </c>
      <c r="J120" t="s">
        <v>32</v>
      </c>
      <c r="K120" t="s">
        <v>18</v>
      </c>
      <c r="L120" t="str">
        <f>TEXT(table1[[#This Row],[Date]],"MMM")</f>
        <v>Jul</v>
      </c>
      <c r="M120">
        <f>MONTH(table1[[#This Row],[Date]])</f>
        <v>7</v>
      </c>
      <c r="N120" t="str">
        <f>TEXT(table1[[#This Row],[Date]],"ddd")</f>
        <v>Thu</v>
      </c>
      <c r="O120" s="2">
        <f>table1[[#This Row],[Credit]]-table1[[#This Row],[Debit]]</f>
        <v>-103.80000000000001</v>
      </c>
    </row>
    <row r="121" spans="5:15" x14ac:dyDescent="0.25">
      <c r="E121" s="1">
        <v>44361</v>
      </c>
      <c r="F121" t="s">
        <v>33</v>
      </c>
      <c r="G121" s="2">
        <v>102.9</v>
      </c>
      <c r="H121" s="2"/>
      <c r="I121" t="s">
        <v>34</v>
      </c>
      <c r="J121" t="s">
        <v>32</v>
      </c>
      <c r="K121" t="s">
        <v>18</v>
      </c>
      <c r="L121" t="str">
        <f>TEXT(table1[[#This Row],[Date]],"MMM")</f>
        <v>Jun</v>
      </c>
      <c r="M121">
        <f>MONTH(table1[[#This Row],[Date]])</f>
        <v>6</v>
      </c>
      <c r="N121" t="str">
        <f>TEXT(table1[[#This Row],[Date]],"ddd")</f>
        <v>Mon</v>
      </c>
      <c r="O121" s="2">
        <f>table1[[#This Row],[Credit]]-table1[[#This Row],[Debit]]</f>
        <v>-102.9</v>
      </c>
    </row>
    <row r="122" spans="5:15" x14ac:dyDescent="0.25">
      <c r="E122" s="1">
        <v>44330</v>
      </c>
      <c r="F122" t="s">
        <v>33</v>
      </c>
      <c r="G122" s="2">
        <v>101.80000000000001</v>
      </c>
      <c r="H122" s="2"/>
      <c r="I122" t="s">
        <v>34</v>
      </c>
      <c r="J122" t="s">
        <v>32</v>
      </c>
      <c r="K122" t="s">
        <v>18</v>
      </c>
      <c r="L122" t="str">
        <f>TEXT(table1[[#This Row],[Date]],"MMM")</f>
        <v>May</v>
      </c>
      <c r="M122">
        <f>MONTH(table1[[#This Row],[Date]])</f>
        <v>5</v>
      </c>
      <c r="N122" t="str">
        <f>TEXT(table1[[#This Row],[Date]],"ddd")</f>
        <v>Fri</v>
      </c>
      <c r="O122" s="2">
        <f>table1[[#This Row],[Credit]]-table1[[#This Row],[Debit]]</f>
        <v>-101.80000000000001</v>
      </c>
    </row>
    <row r="123" spans="5:15" x14ac:dyDescent="0.25">
      <c r="E123" s="1">
        <v>44299</v>
      </c>
      <c r="F123" t="s">
        <v>33</v>
      </c>
      <c r="G123" s="2">
        <v>100.9</v>
      </c>
      <c r="H123" s="2"/>
      <c r="I123" t="s">
        <v>34</v>
      </c>
      <c r="J123" t="s">
        <v>32</v>
      </c>
      <c r="K123" t="s">
        <v>18</v>
      </c>
      <c r="L123" t="str">
        <f>TEXT(table1[[#This Row],[Date]],"MMM")</f>
        <v>Apr</v>
      </c>
      <c r="M123">
        <f>MONTH(table1[[#This Row],[Date]])</f>
        <v>4</v>
      </c>
      <c r="N123" t="str">
        <f>TEXT(table1[[#This Row],[Date]],"ddd")</f>
        <v>Tue</v>
      </c>
      <c r="O123" s="2">
        <f>table1[[#This Row],[Credit]]-table1[[#This Row],[Debit]]</f>
        <v>-100.9</v>
      </c>
    </row>
    <row r="124" spans="5:15" x14ac:dyDescent="0.25">
      <c r="E124" s="1">
        <v>44268</v>
      </c>
      <c r="F124" t="s">
        <v>33</v>
      </c>
      <c r="G124" s="2">
        <v>99.9</v>
      </c>
      <c r="H124" s="2"/>
      <c r="I124" t="s">
        <v>34</v>
      </c>
      <c r="J124" t="s">
        <v>32</v>
      </c>
      <c r="K124" t="s">
        <v>18</v>
      </c>
      <c r="L124" t="str">
        <f>TEXT(table1[[#This Row],[Date]],"MMM")</f>
        <v>Mar</v>
      </c>
      <c r="M124">
        <f>MONTH(table1[[#This Row],[Date]])</f>
        <v>3</v>
      </c>
      <c r="N124" t="str">
        <f>TEXT(table1[[#This Row],[Date]],"ddd")</f>
        <v>Sat</v>
      </c>
      <c r="O124" s="2">
        <f>table1[[#This Row],[Credit]]-table1[[#This Row],[Debit]]</f>
        <v>-99.9</v>
      </c>
    </row>
    <row r="125" spans="5:15" x14ac:dyDescent="0.25">
      <c r="E125" s="1">
        <v>44240</v>
      </c>
      <c r="F125" t="s">
        <v>33</v>
      </c>
      <c r="G125" s="2">
        <v>99</v>
      </c>
      <c r="H125" s="2"/>
      <c r="I125" t="s">
        <v>34</v>
      </c>
      <c r="J125" t="s">
        <v>32</v>
      </c>
      <c r="K125" t="s">
        <v>18</v>
      </c>
      <c r="L125" t="str">
        <f>TEXT(table1[[#This Row],[Date]],"MMM")</f>
        <v>Feb</v>
      </c>
      <c r="M125">
        <f>MONTH(table1[[#This Row],[Date]])</f>
        <v>2</v>
      </c>
      <c r="N125" t="str">
        <f>TEXT(table1[[#This Row],[Date]],"ddd")</f>
        <v>Sat</v>
      </c>
      <c r="O125" s="2">
        <f>table1[[#This Row],[Credit]]-table1[[#This Row],[Debit]]</f>
        <v>-99</v>
      </c>
    </row>
    <row r="126" spans="5:15" x14ac:dyDescent="0.25">
      <c r="E126" s="1">
        <v>44212</v>
      </c>
      <c r="F126" t="s">
        <v>33</v>
      </c>
      <c r="G126" s="2">
        <v>98</v>
      </c>
      <c r="H126" s="2"/>
      <c r="I126" t="s">
        <v>34</v>
      </c>
      <c r="J126" t="s">
        <v>32</v>
      </c>
      <c r="K126" t="s">
        <v>18</v>
      </c>
      <c r="L126" t="str">
        <f>TEXT(table1[[#This Row],[Date]],"MMM")</f>
        <v>Jan</v>
      </c>
      <c r="M126">
        <f>MONTH(table1[[#This Row],[Date]])</f>
        <v>1</v>
      </c>
      <c r="N126" t="str">
        <f>TEXT(table1[[#This Row],[Date]],"ddd")</f>
        <v>Sat</v>
      </c>
      <c r="O126" s="2">
        <f>table1[[#This Row],[Credit]]-table1[[#This Row],[Debit]]</f>
        <v>-98</v>
      </c>
    </row>
    <row r="127" spans="5:15" x14ac:dyDescent="0.25">
      <c r="E127" s="1">
        <v>44298</v>
      </c>
      <c r="F127" t="s">
        <v>25</v>
      </c>
      <c r="G127" s="2">
        <v>98</v>
      </c>
      <c r="H127" s="2"/>
      <c r="I127" t="s">
        <v>26</v>
      </c>
      <c r="J127" t="s">
        <v>21</v>
      </c>
      <c r="K127" t="s">
        <v>18</v>
      </c>
      <c r="L127" t="str">
        <f>TEXT(table1[[#This Row],[Date]],"MMM")</f>
        <v>Apr</v>
      </c>
      <c r="M127">
        <f>MONTH(table1[[#This Row],[Date]])</f>
        <v>4</v>
      </c>
      <c r="N127" t="str">
        <f>TEXT(table1[[#This Row],[Date]],"ddd")</f>
        <v>Mon</v>
      </c>
      <c r="O127" s="2">
        <f>table1[[#This Row],[Credit]]-table1[[#This Row],[Debit]]</f>
        <v>-98</v>
      </c>
    </row>
    <row r="128" spans="5:15" x14ac:dyDescent="0.25">
      <c r="E128" s="1">
        <v>44482</v>
      </c>
      <c r="F128" t="s">
        <v>29</v>
      </c>
      <c r="G128" s="2">
        <v>86.399999999999977</v>
      </c>
      <c r="H128" s="2"/>
      <c r="I128" t="s">
        <v>52</v>
      </c>
      <c r="J128" t="s">
        <v>24</v>
      </c>
      <c r="K128" t="s">
        <v>18</v>
      </c>
      <c r="L128" t="str">
        <f>TEXT(table1[[#This Row],[Date]],"MMM")</f>
        <v>Oct</v>
      </c>
      <c r="M128">
        <f>MONTH(table1[[#This Row],[Date]])</f>
        <v>10</v>
      </c>
      <c r="N128" t="str">
        <f>TEXT(table1[[#This Row],[Date]],"ddd")</f>
        <v>Wed</v>
      </c>
      <c r="O128" s="2">
        <f>table1[[#This Row],[Credit]]-table1[[#This Row],[Debit]]</f>
        <v>-86.399999999999977</v>
      </c>
    </row>
    <row r="129" spans="5:15" x14ac:dyDescent="0.25">
      <c r="E129" s="1">
        <v>44451</v>
      </c>
      <c r="F129" t="s">
        <v>29</v>
      </c>
      <c r="G129" s="2">
        <v>85.299999999999983</v>
      </c>
      <c r="H129" s="2"/>
      <c r="I129" t="s">
        <v>52</v>
      </c>
      <c r="J129" t="s">
        <v>24</v>
      </c>
      <c r="K129" t="s">
        <v>18</v>
      </c>
      <c r="L129" t="str">
        <f>TEXT(table1[[#This Row],[Date]],"MMM")</f>
        <v>Sep</v>
      </c>
      <c r="M129">
        <f>MONTH(table1[[#This Row],[Date]])</f>
        <v>9</v>
      </c>
      <c r="N129" t="str">
        <f>TEXT(table1[[#This Row],[Date]],"ddd")</f>
        <v>Sun</v>
      </c>
      <c r="O129" s="2">
        <f>table1[[#This Row],[Credit]]-table1[[#This Row],[Debit]]</f>
        <v>-85.299999999999983</v>
      </c>
    </row>
    <row r="130" spans="5:15" x14ac:dyDescent="0.25">
      <c r="E130" s="1">
        <v>44420</v>
      </c>
      <c r="F130" t="s">
        <v>29</v>
      </c>
      <c r="G130" s="2">
        <v>84.199999999999989</v>
      </c>
      <c r="H130" s="2"/>
      <c r="I130" t="s">
        <v>52</v>
      </c>
      <c r="J130" t="s">
        <v>24</v>
      </c>
      <c r="K130" t="s">
        <v>18</v>
      </c>
      <c r="L130" t="str">
        <f>TEXT(table1[[#This Row],[Date]],"MMM")</f>
        <v>Aug</v>
      </c>
      <c r="M130">
        <f>MONTH(table1[[#This Row],[Date]])</f>
        <v>8</v>
      </c>
      <c r="N130" t="str">
        <f>TEXT(table1[[#This Row],[Date]],"ddd")</f>
        <v>Thu</v>
      </c>
      <c r="O130" s="2">
        <f>table1[[#This Row],[Credit]]-table1[[#This Row],[Debit]]</f>
        <v>-84.199999999999989</v>
      </c>
    </row>
    <row r="131" spans="5:15" x14ac:dyDescent="0.25">
      <c r="E131" s="1">
        <v>44389</v>
      </c>
      <c r="F131" t="s">
        <v>29</v>
      </c>
      <c r="G131" s="2">
        <v>83.1</v>
      </c>
      <c r="H131" s="2"/>
      <c r="I131" t="s">
        <v>52</v>
      </c>
      <c r="J131" t="s">
        <v>24</v>
      </c>
      <c r="K131" t="s">
        <v>18</v>
      </c>
      <c r="L131" t="str">
        <f>TEXT(table1[[#This Row],[Date]],"MMM")</f>
        <v>Jul</v>
      </c>
      <c r="M131">
        <f>MONTH(table1[[#This Row],[Date]])</f>
        <v>7</v>
      </c>
      <c r="N131" t="str">
        <f>TEXT(table1[[#This Row],[Date]],"ddd")</f>
        <v>Mon</v>
      </c>
      <c r="O131" s="2">
        <f>table1[[#This Row],[Credit]]-table1[[#This Row],[Debit]]</f>
        <v>-83.1</v>
      </c>
    </row>
    <row r="132" spans="5:15" x14ac:dyDescent="0.25">
      <c r="E132" s="1">
        <v>44358</v>
      </c>
      <c r="F132" t="s">
        <v>29</v>
      </c>
      <c r="G132" s="2">
        <v>82.1</v>
      </c>
      <c r="H132" s="2"/>
      <c r="I132" t="s">
        <v>52</v>
      </c>
      <c r="J132" t="s">
        <v>24</v>
      </c>
      <c r="K132" t="s">
        <v>18</v>
      </c>
      <c r="L132" t="str">
        <f>TEXT(table1[[#This Row],[Date]],"MMM")</f>
        <v>Jun</v>
      </c>
      <c r="M132">
        <f>MONTH(table1[[#This Row],[Date]])</f>
        <v>6</v>
      </c>
      <c r="N132" t="str">
        <f>TEXT(table1[[#This Row],[Date]],"ddd")</f>
        <v>Fri</v>
      </c>
      <c r="O132" s="2">
        <f>table1[[#This Row],[Credit]]-table1[[#This Row],[Debit]]</f>
        <v>-82.1</v>
      </c>
    </row>
    <row r="133" spans="5:15" x14ac:dyDescent="0.25">
      <c r="E133" s="1">
        <v>44327</v>
      </c>
      <c r="F133" t="s">
        <v>29</v>
      </c>
      <c r="G133" s="2">
        <v>81</v>
      </c>
      <c r="H133" s="2"/>
      <c r="I133" t="s">
        <v>52</v>
      </c>
      <c r="J133" t="s">
        <v>24</v>
      </c>
      <c r="K133" t="s">
        <v>18</v>
      </c>
      <c r="L133" t="str">
        <f>TEXT(table1[[#This Row],[Date]],"MMM")</f>
        <v>May</v>
      </c>
      <c r="M133">
        <f>MONTH(table1[[#This Row],[Date]])</f>
        <v>5</v>
      </c>
      <c r="N133" t="str">
        <f>TEXT(table1[[#This Row],[Date]],"ddd")</f>
        <v>Tue</v>
      </c>
      <c r="O133" s="2">
        <f>table1[[#This Row],[Credit]]-table1[[#This Row],[Debit]]</f>
        <v>-81</v>
      </c>
    </row>
    <row r="134" spans="5:15" x14ac:dyDescent="0.25">
      <c r="E134" s="1">
        <v>44296</v>
      </c>
      <c r="F134" t="s">
        <v>29</v>
      </c>
      <c r="G134" s="2">
        <v>79.900000000000006</v>
      </c>
      <c r="H134" s="2"/>
      <c r="I134" t="s">
        <v>52</v>
      </c>
      <c r="J134" t="s">
        <v>24</v>
      </c>
      <c r="K134" t="s">
        <v>18</v>
      </c>
      <c r="L134" t="str">
        <f>TEXT(table1[[#This Row],[Date]],"MMM")</f>
        <v>Apr</v>
      </c>
      <c r="M134">
        <f>MONTH(table1[[#This Row],[Date]])</f>
        <v>4</v>
      </c>
      <c r="N134" t="str">
        <f>TEXT(table1[[#This Row],[Date]],"ddd")</f>
        <v>Sat</v>
      </c>
      <c r="O134" s="2">
        <f>table1[[#This Row],[Credit]]-table1[[#This Row],[Debit]]</f>
        <v>-79.900000000000006</v>
      </c>
    </row>
    <row r="135" spans="5:15" x14ac:dyDescent="0.25">
      <c r="E135" s="1">
        <v>44265</v>
      </c>
      <c r="F135" t="s">
        <v>29</v>
      </c>
      <c r="G135" s="2">
        <v>78.900000000000006</v>
      </c>
      <c r="H135" s="2"/>
      <c r="I135" t="s">
        <v>52</v>
      </c>
      <c r="J135" t="s">
        <v>24</v>
      </c>
      <c r="K135" t="s">
        <v>18</v>
      </c>
      <c r="L135" t="str">
        <f>TEXT(table1[[#This Row],[Date]],"MMM")</f>
        <v>Mar</v>
      </c>
      <c r="M135">
        <f>MONTH(table1[[#This Row],[Date]])</f>
        <v>3</v>
      </c>
      <c r="N135" t="str">
        <f>TEXT(table1[[#This Row],[Date]],"ddd")</f>
        <v>Wed</v>
      </c>
      <c r="O135" s="2">
        <f>table1[[#This Row],[Credit]]-table1[[#This Row],[Debit]]</f>
        <v>-78.900000000000006</v>
      </c>
    </row>
    <row r="136" spans="5:15" x14ac:dyDescent="0.25">
      <c r="E136" s="1">
        <v>44237</v>
      </c>
      <c r="F136" t="s">
        <v>29</v>
      </c>
      <c r="G136" s="2">
        <v>78</v>
      </c>
      <c r="H136" s="2"/>
      <c r="I136" t="s">
        <v>52</v>
      </c>
      <c r="J136" t="s">
        <v>24</v>
      </c>
      <c r="K136" t="s">
        <v>18</v>
      </c>
      <c r="L136" t="str">
        <f>TEXT(table1[[#This Row],[Date]],"MMM")</f>
        <v>Feb</v>
      </c>
      <c r="M136">
        <f>MONTH(table1[[#This Row],[Date]])</f>
        <v>2</v>
      </c>
      <c r="N136" t="str">
        <f>TEXT(table1[[#This Row],[Date]],"ddd")</f>
        <v>Wed</v>
      </c>
      <c r="O136" s="2">
        <f>table1[[#This Row],[Credit]]-table1[[#This Row],[Debit]]</f>
        <v>-78</v>
      </c>
    </row>
    <row r="137" spans="5:15" x14ac:dyDescent="0.25">
      <c r="E137" s="1">
        <v>44209</v>
      </c>
      <c r="F137" t="s">
        <v>29</v>
      </c>
      <c r="G137" s="2">
        <v>77</v>
      </c>
      <c r="H137" s="2"/>
      <c r="I137" t="s">
        <v>16</v>
      </c>
      <c r="J137" t="s">
        <v>17</v>
      </c>
      <c r="K137" t="s">
        <v>18</v>
      </c>
      <c r="L137" t="str">
        <f>TEXT(table1[[#This Row],[Date]],"MMM")</f>
        <v>Jan</v>
      </c>
      <c r="M137">
        <f>MONTH(table1[[#This Row],[Date]])</f>
        <v>1</v>
      </c>
      <c r="N137" t="str">
        <f>TEXT(table1[[#This Row],[Date]],"ddd")</f>
        <v>Wed</v>
      </c>
      <c r="O137" s="2">
        <f>table1[[#This Row],[Credit]]-table1[[#This Row],[Debit]]</f>
        <v>-77</v>
      </c>
    </row>
    <row r="138" spans="5:15" x14ac:dyDescent="0.25">
      <c r="E138" s="1">
        <v>44271</v>
      </c>
      <c r="F138" t="s">
        <v>56</v>
      </c>
      <c r="G138" s="2">
        <v>75</v>
      </c>
      <c r="H138" s="2"/>
      <c r="I138" t="s">
        <v>57</v>
      </c>
      <c r="J138" t="s">
        <v>58</v>
      </c>
      <c r="K138" t="s">
        <v>18</v>
      </c>
      <c r="L138" t="str">
        <f>TEXT(table1[[#This Row],[Date]],"MMM")</f>
        <v>Mar</v>
      </c>
      <c r="M138">
        <f>MONTH(table1[[#This Row],[Date]])</f>
        <v>3</v>
      </c>
      <c r="N138" t="str">
        <f>TEXT(table1[[#This Row],[Date]],"ddd")</f>
        <v>Tue</v>
      </c>
      <c r="O138" s="2">
        <f>table1[[#This Row],[Credit]]-table1[[#This Row],[Debit]]</f>
        <v>-75</v>
      </c>
    </row>
    <row r="139" spans="5:15" x14ac:dyDescent="0.25">
      <c r="E139" s="1">
        <v>44333</v>
      </c>
      <c r="F139" t="s">
        <v>56</v>
      </c>
      <c r="G139" s="2">
        <v>75</v>
      </c>
      <c r="H139" s="2"/>
      <c r="I139" t="s">
        <v>57</v>
      </c>
      <c r="J139" t="s">
        <v>58</v>
      </c>
      <c r="K139" t="s">
        <v>18</v>
      </c>
      <c r="L139" t="str">
        <f>TEXT(table1[[#This Row],[Date]],"MMM")</f>
        <v>May</v>
      </c>
      <c r="M139">
        <f>MONTH(table1[[#This Row],[Date]])</f>
        <v>5</v>
      </c>
      <c r="N139" t="str">
        <f>TEXT(table1[[#This Row],[Date]],"ddd")</f>
        <v>Mon</v>
      </c>
      <c r="O139" s="2">
        <f>table1[[#This Row],[Credit]]-table1[[#This Row],[Debit]]</f>
        <v>-75</v>
      </c>
    </row>
    <row r="140" spans="5:15" x14ac:dyDescent="0.25">
      <c r="E140" s="1">
        <v>44488</v>
      </c>
      <c r="F140" t="s">
        <v>56</v>
      </c>
      <c r="G140" s="2">
        <v>75</v>
      </c>
      <c r="H140" s="2"/>
      <c r="I140" t="s">
        <v>57</v>
      </c>
      <c r="J140" t="s">
        <v>58</v>
      </c>
      <c r="K140" t="s">
        <v>18</v>
      </c>
      <c r="L140" t="str">
        <f>TEXT(table1[[#This Row],[Date]],"MMM")</f>
        <v>Oct</v>
      </c>
      <c r="M140">
        <f>MONTH(table1[[#This Row],[Date]])</f>
        <v>10</v>
      </c>
      <c r="N140" t="str">
        <f>TEXT(table1[[#This Row],[Date]],"ddd")</f>
        <v>Tue</v>
      </c>
      <c r="O140" s="2">
        <f>table1[[#This Row],[Credit]]-table1[[#This Row],[Debit]]</f>
        <v>-75</v>
      </c>
    </row>
    <row r="141" spans="5:15" x14ac:dyDescent="0.25">
      <c r="E141" s="1">
        <v>44494</v>
      </c>
      <c r="F141" t="s">
        <v>29</v>
      </c>
      <c r="G141" s="2">
        <v>71.500000000000028</v>
      </c>
      <c r="H141" s="2"/>
      <c r="I141" t="s">
        <v>52</v>
      </c>
      <c r="J141" t="s">
        <v>24</v>
      </c>
      <c r="K141" t="s">
        <v>18</v>
      </c>
      <c r="L141" t="str">
        <f>TEXT(table1[[#This Row],[Date]],"MMM")</f>
        <v>Oct</v>
      </c>
      <c r="M141">
        <f>MONTH(table1[[#This Row],[Date]])</f>
        <v>10</v>
      </c>
      <c r="N141" t="str">
        <f>TEXT(table1[[#This Row],[Date]],"ddd")</f>
        <v>Mon</v>
      </c>
      <c r="O141" s="2">
        <f>table1[[#This Row],[Credit]]-table1[[#This Row],[Debit]]</f>
        <v>-71.500000000000028</v>
      </c>
    </row>
    <row r="142" spans="5:15" x14ac:dyDescent="0.25">
      <c r="E142" s="1">
        <v>44463</v>
      </c>
      <c r="F142" t="s">
        <v>29</v>
      </c>
      <c r="G142" s="2">
        <v>70.600000000000023</v>
      </c>
      <c r="H142" s="2"/>
      <c r="I142" t="s">
        <v>52</v>
      </c>
      <c r="J142" t="s">
        <v>24</v>
      </c>
      <c r="K142" t="s">
        <v>18</v>
      </c>
      <c r="L142" t="str">
        <f>TEXT(table1[[#This Row],[Date]],"MMM")</f>
        <v>Sep</v>
      </c>
      <c r="M142">
        <f>MONTH(table1[[#This Row],[Date]])</f>
        <v>9</v>
      </c>
      <c r="N142" t="str">
        <f>TEXT(table1[[#This Row],[Date]],"ddd")</f>
        <v>Fri</v>
      </c>
      <c r="O142" s="2">
        <f>table1[[#This Row],[Credit]]-table1[[#This Row],[Debit]]</f>
        <v>-70.600000000000023</v>
      </c>
    </row>
    <row r="143" spans="5:15" x14ac:dyDescent="0.25">
      <c r="E143" s="1">
        <v>44432</v>
      </c>
      <c r="F143" t="s">
        <v>29</v>
      </c>
      <c r="G143" s="2">
        <v>69.700000000000017</v>
      </c>
      <c r="H143" s="2"/>
      <c r="I143" t="s">
        <v>52</v>
      </c>
      <c r="J143" t="s">
        <v>24</v>
      </c>
      <c r="K143" t="s">
        <v>18</v>
      </c>
      <c r="L143" t="str">
        <f>TEXT(table1[[#This Row],[Date]],"MMM")</f>
        <v>Aug</v>
      </c>
      <c r="M143">
        <f>MONTH(table1[[#This Row],[Date]])</f>
        <v>8</v>
      </c>
      <c r="N143" t="str">
        <f>TEXT(table1[[#This Row],[Date]],"ddd")</f>
        <v>Tue</v>
      </c>
      <c r="O143" s="2">
        <f>table1[[#This Row],[Credit]]-table1[[#This Row],[Debit]]</f>
        <v>-69.700000000000017</v>
      </c>
    </row>
    <row r="144" spans="5:15" x14ac:dyDescent="0.25">
      <c r="E144" s="1">
        <v>44401</v>
      </c>
      <c r="F144" t="s">
        <v>29</v>
      </c>
      <c r="G144" s="2">
        <v>68.800000000000011</v>
      </c>
      <c r="H144" s="2"/>
      <c r="I144" t="s">
        <v>52</v>
      </c>
      <c r="J144" t="s">
        <v>24</v>
      </c>
      <c r="K144" t="s">
        <v>18</v>
      </c>
      <c r="L144" t="str">
        <f>TEXT(table1[[#This Row],[Date]],"MMM")</f>
        <v>Jul</v>
      </c>
      <c r="M144">
        <f>MONTH(table1[[#This Row],[Date]])</f>
        <v>7</v>
      </c>
      <c r="N144" t="str">
        <f>TEXT(table1[[#This Row],[Date]],"ddd")</f>
        <v>Sat</v>
      </c>
      <c r="O144" s="2">
        <f>table1[[#This Row],[Credit]]-table1[[#This Row],[Debit]]</f>
        <v>-68.800000000000011</v>
      </c>
    </row>
    <row r="145" spans="5:15" x14ac:dyDescent="0.25">
      <c r="E145" s="1">
        <v>44370</v>
      </c>
      <c r="F145" t="s">
        <v>29</v>
      </c>
      <c r="G145" s="2">
        <v>67.900000000000006</v>
      </c>
      <c r="H145" s="2"/>
      <c r="I145" t="s">
        <v>52</v>
      </c>
      <c r="J145" t="s">
        <v>24</v>
      </c>
      <c r="K145" t="s">
        <v>18</v>
      </c>
      <c r="L145" t="str">
        <f>TEXT(table1[[#This Row],[Date]],"MMM")</f>
        <v>Jun</v>
      </c>
      <c r="M145">
        <f>MONTH(table1[[#This Row],[Date]])</f>
        <v>6</v>
      </c>
      <c r="N145" t="str">
        <f>TEXT(table1[[#This Row],[Date]],"ddd")</f>
        <v>Wed</v>
      </c>
      <c r="O145" s="2">
        <f>table1[[#This Row],[Credit]]-table1[[#This Row],[Debit]]</f>
        <v>-67.900000000000006</v>
      </c>
    </row>
    <row r="146" spans="5:15" x14ac:dyDescent="0.25">
      <c r="E146" s="1">
        <v>44339</v>
      </c>
      <c r="F146" t="s">
        <v>29</v>
      </c>
      <c r="G146" s="2">
        <v>67</v>
      </c>
      <c r="H146" s="2"/>
      <c r="I146" t="s">
        <v>52</v>
      </c>
      <c r="J146" t="s">
        <v>24</v>
      </c>
      <c r="K146" t="s">
        <v>18</v>
      </c>
      <c r="L146" t="str">
        <f>TEXT(table1[[#This Row],[Date]],"MMM")</f>
        <v>May</v>
      </c>
      <c r="M146">
        <f>MONTH(table1[[#This Row],[Date]])</f>
        <v>5</v>
      </c>
      <c r="N146" t="str">
        <f>TEXT(table1[[#This Row],[Date]],"ddd")</f>
        <v>Sun</v>
      </c>
      <c r="O146" s="2">
        <f>table1[[#This Row],[Credit]]-table1[[#This Row],[Debit]]</f>
        <v>-67</v>
      </c>
    </row>
    <row r="147" spans="5:15" x14ac:dyDescent="0.25">
      <c r="E147" s="1">
        <v>44308</v>
      </c>
      <c r="F147" t="s">
        <v>29</v>
      </c>
      <c r="G147" s="2">
        <v>66</v>
      </c>
      <c r="H147" s="2"/>
      <c r="I147" t="s">
        <v>52</v>
      </c>
      <c r="J147" t="s">
        <v>24</v>
      </c>
      <c r="K147" t="s">
        <v>18</v>
      </c>
      <c r="L147" t="str">
        <f>TEXT(table1[[#This Row],[Date]],"MMM")</f>
        <v>Apr</v>
      </c>
      <c r="M147">
        <f>MONTH(table1[[#This Row],[Date]])</f>
        <v>4</v>
      </c>
      <c r="N147" t="str">
        <f>TEXT(table1[[#This Row],[Date]],"ddd")</f>
        <v>Thu</v>
      </c>
      <c r="O147" s="2">
        <f>table1[[#This Row],[Credit]]-table1[[#This Row],[Debit]]</f>
        <v>-66</v>
      </c>
    </row>
    <row r="148" spans="5:15" x14ac:dyDescent="0.25">
      <c r="E148" s="1">
        <v>44277</v>
      </c>
      <c r="F148" t="s">
        <v>29</v>
      </c>
      <c r="G148" s="2">
        <v>65</v>
      </c>
      <c r="H148" s="2"/>
      <c r="I148" t="s">
        <v>52</v>
      </c>
      <c r="J148" t="s">
        <v>24</v>
      </c>
      <c r="K148" t="s">
        <v>18</v>
      </c>
      <c r="L148" t="str">
        <f>TEXT(table1[[#This Row],[Date]],"MMM")</f>
        <v>Mar</v>
      </c>
      <c r="M148">
        <f>MONTH(table1[[#This Row],[Date]])</f>
        <v>3</v>
      </c>
      <c r="N148" t="str">
        <f>TEXT(table1[[#This Row],[Date]],"ddd")</f>
        <v>Mon</v>
      </c>
      <c r="O148" s="2">
        <f>table1[[#This Row],[Credit]]-table1[[#This Row],[Debit]]</f>
        <v>-65</v>
      </c>
    </row>
    <row r="149" spans="5:15" x14ac:dyDescent="0.25">
      <c r="E149" s="1">
        <v>44249</v>
      </c>
      <c r="F149" t="s">
        <v>29</v>
      </c>
      <c r="G149" s="2">
        <v>64.099999999999994</v>
      </c>
      <c r="H149" s="2"/>
      <c r="I149" t="s">
        <v>52</v>
      </c>
      <c r="J149" t="s">
        <v>24</v>
      </c>
      <c r="K149" t="s">
        <v>18</v>
      </c>
      <c r="L149" t="str">
        <f>TEXT(table1[[#This Row],[Date]],"MMM")</f>
        <v>Feb</v>
      </c>
      <c r="M149">
        <f>MONTH(table1[[#This Row],[Date]])</f>
        <v>2</v>
      </c>
      <c r="N149" t="str">
        <f>TEXT(table1[[#This Row],[Date]],"ddd")</f>
        <v>Mon</v>
      </c>
      <c r="O149" s="2">
        <f>table1[[#This Row],[Credit]]-table1[[#This Row],[Debit]]</f>
        <v>-64.099999999999994</v>
      </c>
    </row>
    <row r="150" spans="5:15" x14ac:dyDescent="0.25">
      <c r="E150" s="1">
        <v>44221</v>
      </c>
      <c r="F150" t="s">
        <v>29</v>
      </c>
      <c r="G150" s="2">
        <v>63</v>
      </c>
      <c r="H150" s="2"/>
      <c r="I150" t="s">
        <v>52</v>
      </c>
      <c r="J150" t="s">
        <v>24</v>
      </c>
      <c r="K150" t="s">
        <v>18</v>
      </c>
      <c r="L150" t="str">
        <f>TEXT(table1[[#This Row],[Date]],"MMM")</f>
        <v>Jan</v>
      </c>
      <c r="M150">
        <f>MONTH(table1[[#This Row],[Date]])</f>
        <v>1</v>
      </c>
      <c r="N150" t="str">
        <f>TEXT(table1[[#This Row],[Date]],"ddd")</f>
        <v>Mon</v>
      </c>
      <c r="O150" s="2">
        <f>table1[[#This Row],[Credit]]-table1[[#This Row],[Debit]]</f>
        <v>-63</v>
      </c>
    </row>
    <row r="151" spans="5:15" x14ac:dyDescent="0.25">
      <c r="E151" s="1">
        <v>44485</v>
      </c>
      <c r="F151" t="s">
        <v>35</v>
      </c>
      <c r="G151" s="2">
        <v>61.1</v>
      </c>
      <c r="H151" s="2"/>
      <c r="I151" t="s">
        <v>36</v>
      </c>
      <c r="J151" t="s">
        <v>17</v>
      </c>
      <c r="K151" t="s">
        <v>18</v>
      </c>
      <c r="L151" t="str">
        <f>TEXT(table1[[#This Row],[Date]],"MMM")</f>
        <v>Oct</v>
      </c>
      <c r="M151">
        <f>MONTH(table1[[#This Row],[Date]])</f>
        <v>10</v>
      </c>
      <c r="N151" t="str">
        <f>TEXT(table1[[#This Row],[Date]],"ddd")</f>
        <v>Sat</v>
      </c>
      <c r="O151" s="2">
        <f>table1[[#This Row],[Credit]]-table1[[#This Row],[Debit]]</f>
        <v>-61.1</v>
      </c>
    </row>
    <row r="152" spans="5:15" x14ac:dyDescent="0.25">
      <c r="E152" s="1">
        <v>44454</v>
      </c>
      <c r="F152" t="s">
        <v>35</v>
      </c>
      <c r="G152" s="2">
        <v>60.1</v>
      </c>
      <c r="H152" s="2"/>
      <c r="I152" t="s">
        <v>36</v>
      </c>
      <c r="J152" t="s">
        <v>17</v>
      </c>
      <c r="K152" t="s">
        <v>18</v>
      </c>
      <c r="L152" t="str">
        <f>TEXT(table1[[#This Row],[Date]],"MMM")</f>
        <v>Sep</v>
      </c>
      <c r="M152">
        <f>MONTH(table1[[#This Row],[Date]])</f>
        <v>9</v>
      </c>
      <c r="N152" t="str">
        <f>TEXT(table1[[#This Row],[Date]],"ddd")</f>
        <v>Wed</v>
      </c>
      <c r="O152" s="2">
        <f>table1[[#This Row],[Credit]]-table1[[#This Row],[Debit]]</f>
        <v>-60.1</v>
      </c>
    </row>
    <row r="153" spans="5:15" x14ac:dyDescent="0.25">
      <c r="E153" s="1">
        <v>44423</v>
      </c>
      <c r="F153" t="s">
        <v>35</v>
      </c>
      <c r="G153" s="2">
        <v>59.1</v>
      </c>
      <c r="H153" s="2"/>
      <c r="I153" t="s">
        <v>36</v>
      </c>
      <c r="J153" t="s">
        <v>17</v>
      </c>
      <c r="K153" t="s">
        <v>18</v>
      </c>
      <c r="L153" t="str">
        <f>TEXT(table1[[#This Row],[Date]],"MMM")</f>
        <v>Aug</v>
      </c>
      <c r="M153">
        <f>MONTH(table1[[#This Row],[Date]])</f>
        <v>8</v>
      </c>
      <c r="N153" t="str">
        <f>TEXT(table1[[#This Row],[Date]],"ddd")</f>
        <v>Sun</v>
      </c>
      <c r="O153" s="2">
        <f>table1[[#This Row],[Credit]]-table1[[#This Row],[Debit]]</f>
        <v>-59.1</v>
      </c>
    </row>
    <row r="154" spans="5:15" x14ac:dyDescent="0.25">
      <c r="E154" s="1">
        <v>44480</v>
      </c>
      <c r="F154" t="s">
        <v>27</v>
      </c>
      <c r="G154" s="2">
        <v>59</v>
      </c>
      <c r="H154" s="2"/>
      <c r="I154" t="s">
        <v>28</v>
      </c>
      <c r="J154" t="s">
        <v>21</v>
      </c>
      <c r="K154" t="s">
        <v>18</v>
      </c>
      <c r="L154" t="str">
        <f>TEXT(table1[[#This Row],[Date]],"MMM")</f>
        <v>Oct</v>
      </c>
      <c r="M154">
        <f>MONTH(table1[[#This Row],[Date]])</f>
        <v>10</v>
      </c>
      <c r="N154" t="str">
        <f>TEXT(table1[[#This Row],[Date]],"ddd")</f>
        <v>Mon</v>
      </c>
      <c r="O154" s="2">
        <f>table1[[#This Row],[Credit]]-table1[[#This Row],[Debit]]</f>
        <v>-59</v>
      </c>
    </row>
    <row r="155" spans="5:15" x14ac:dyDescent="0.25">
      <c r="E155" s="1">
        <v>44449</v>
      </c>
      <c r="F155" t="s">
        <v>27</v>
      </c>
      <c r="G155" s="2">
        <v>58.1</v>
      </c>
      <c r="H155" s="2"/>
      <c r="I155" t="s">
        <v>28</v>
      </c>
      <c r="J155" t="s">
        <v>21</v>
      </c>
      <c r="K155" t="s">
        <v>18</v>
      </c>
      <c r="L155" t="str">
        <f>TEXT(table1[[#This Row],[Date]],"MMM")</f>
        <v>Sep</v>
      </c>
      <c r="M155">
        <f>MONTH(table1[[#This Row],[Date]])</f>
        <v>9</v>
      </c>
      <c r="N155" t="str">
        <f>TEXT(table1[[#This Row],[Date]],"ddd")</f>
        <v>Fri</v>
      </c>
      <c r="O155" s="2">
        <f>table1[[#This Row],[Credit]]-table1[[#This Row],[Debit]]</f>
        <v>-58.1</v>
      </c>
    </row>
    <row r="156" spans="5:15" x14ac:dyDescent="0.25">
      <c r="E156" s="1">
        <v>44392</v>
      </c>
      <c r="F156" t="s">
        <v>35</v>
      </c>
      <c r="G156" s="2">
        <v>58</v>
      </c>
      <c r="H156" s="2"/>
      <c r="I156" t="s">
        <v>36</v>
      </c>
      <c r="J156" t="s">
        <v>17</v>
      </c>
      <c r="K156" t="s">
        <v>18</v>
      </c>
      <c r="L156" t="str">
        <f>TEXT(table1[[#This Row],[Date]],"MMM")</f>
        <v>Jul</v>
      </c>
      <c r="M156">
        <f>MONTH(table1[[#This Row],[Date]])</f>
        <v>7</v>
      </c>
      <c r="N156" t="str">
        <f>TEXT(table1[[#This Row],[Date]],"ddd")</f>
        <v>Thu</v>
      </c>
      <c r="O156" s="2">
        <f>table1[[#This Row],[Credit]]-table1[[#This Row],[Debit]]</f>
        <v>-58</v>
      </c>
    </row>
    <row r="157" spans="5:15" x14ac:dyDescent="0.25">
      <c r="E157" s="1">
        <v>44418</v>
      </c>
      <c r="F157" t="s">
        <v>27</v>
      </c>
      <c r="G157" s="2">
        <v>57</v>
      </c>
      <c r="H157" s="2"/>
      <c r="I157" t="s">
        <v>28</v>
      </c>
      <c r="J157" t="s">
        <v>21</v>
      </c>
      <c r="K157" t="s">
        <v>18</v>
      </c>
      <c r="L157" t="str">
        <f>TEXT(table1[[#This Row],[Date]],"MMM")</f>
        <v>Aug</v>
      </c>
      <c r="M157">
        <f>MONTH(table1[[#This Row],[Date]])</f>
        <v>8</v>
      </c>
      <c r="N157" t="str">
        <f>TEXT(table1[[#This Row],[Date]],"ddd")</f>
        <v>Tue</v>
      </c>
      <c r="O157" s="2">
        <f>table1[[#This Row],[Credit]]-table1[[#This Row],[Debit]]</f>
        <v>-57</v>
      </c>
    </row>
    <row r="158" spans="5:15" x14ac:dyDescent="0.25">
      <c r="E158" s="1">
        <v>44361</v>
      </c>
      <c r="F158" t="s">
        <v>35</v>
      </c>
      <c r="G158" s="2">
        <v>56.9</v>
      </c>
      <c r="H158" s="2"/>
      <c r="I158" t="s">
        <v>36</v>
      </c>
      <c r="J158" t="s">
        <v>17</v>
      </c>
      <c r="K158" t="s">
        <v>18</v>
      </c>
      <c r="L158" t="str">
        <f>TEXT(table1[[#This Row],[Date]],"MMM")</f>
        <v>Jun</v>
      </c>
      <c r="M158">
        <f>MONTH(table1[[#This Row],[Date]])</f>
        <v>6</v>
      </c>
      <c r="N158" t="str">
        <f>TEXT(table1[[#This Row],[Date]],"ddd")</f>
        <v>Mon</v>
      </c>
      <c r="O158" s="2">
        <f>table1[[#This Row],[Credit]]-table1[[#This Row],[Debit]]</f>
        <v>-56.9</v>
      </c>
    </row>
    <row r="159" spans="5:15" x14ac:dyDescent="0.25">
      <c r="E159" s="1">
        <v>44387</v>
      </c>
      <c r="F159" t="s">
        <v>27</v>
      </c>
      <c r="G159" s="2">
        <v>56.1</v>
      </c>
      <c r="H159" s="2"/>
      <c r="I159" t="s">
        <v>28</v>
      </c>
      <c r="J159" t="s">
        <v>21</v>
      </c>
      <c r="K159" t="s">
        <v>18</v>
      </c>
      <c r="L159" t="str">
        <f>TEXT(table1[[#This Row],[Date]],"MMM")</f>
        <v>Jul</v>
      </c>
      <c r="M159">
        <f>MONTH(table1[[#This Row],[Date]])</f>
        <v>7</v>
      </c>
      <c r="N159" t="str">
        <f>TEXT(table1[[#This Row],[Date]],"ddd")</f>
        <v>Sat</v>
      </c>
      <c r="O159" s="2">
        <f>table1[[#This Row],[Credit]]-table1[[#This Row],[Debit]]</f>
        <v>-56.1</v>
      </c>
    </row>
    <row r="160" spans="5:15" x14ac:dyDescent="0.25">
      <c r="E160" s="1">
        <v>44330</v>
      </c>
      <c r="F160" t="s">
        <v>35</v>
      </c>
      <c r="G160" s="2">
        <v>55.9</v>
      </c>
      <c r="H160" s="2"/>
      <c r="I160" t="s">
        <v>36</v>
      </c>
      <c r="J160" t="s">
        <v>17</v>
      </c>
      <c r="K160" t="s">
        <v>18</v>
      </c>
      <c r="L160" t="str">
        <f>TEXT(table1[[#This Row],[Date]],"MMM")</f>
        <v>May</v>
      </c>
      <c r="M160">
        <f>MONTH(table1[[#This Row],[Date]])</f>
        <v>5</v>
      </c>
      <c r="N160" t="str">
        <f>TEXT(table1[[#This Row],[Date]],"ddd")</f>
        <v>Fri</v>
      </c>
      <c r="O160" s="2">
        <f>table1[[#This Row],[Credit]]-table1[[#This Row],[Debit]]</f>
        <v>-55.9</v>
      </c>
    </row>
    <row r="161" spans="5:15" x14ac:dyDescent="0.25">
      <c r="E161" s="1">
        <v>44221</v>
      </c>
      <c r="F161" t="s">
        <v>49</v>
      </c>
      <c r="G161" s="2">
        <v>55</v>
      </c>
      <c r="H161" s="2"/>
      <c r="I161" t="s">
        <v>50</v>
      </c>
      <c r="J161" t="s">
        <v>51</v>
      </c>
      <c r="K161" t="s">
        <v>18</v>
      </c>
      <c r="L161" t="str">
        <f>TEXT(table1[[#This Row],[Date]],"MMM")</f>
        <v>Jan</v>
      </c>
      <c r="M161">
        <f>MONTH(table1[[#This Row],[Date]])</f>
        <v>1</v>
      </c>
      <c r="N161" t="str">
        <f>TEXT(table1[[#This Row],[Date]],"ddd")</f>
        <v>Mon</v>
      </c>
      <c r="O161" s="2">
        <f>table1[[#This Row],[Credit]]-table1[[#This Row],[Debit]]</f>
        <v>-55</v>
      </c>
    </row>
    <row r="162" spans="5:15" x14ac:dyDescent="0.25">
      <c r="E162" s="1">
        <v>44249</v>
      </c>
      <c r="F162" t="s">
        <v>49</v>
      </c>
      <c r="G162" s="2">
        <v>55</v>
      </c>
      <c r="H162" s="2"/>
      <c r="I162" t="s">
        <v>50</v>
      </c>
      <c r="J162" t="s">
        <v>51</v>
      </c>
      <c r="K162" t="s">
        <v>18</v>
      </c>
      <c r="L162" t="str">
        <f>TEXT(table1[[#This Row],[Date]],"MMM")</f>
        <v>Feb</v>
      </c>
      <c r="M162">
        <f>MONTH(table1[[#This Row],[Date]])</f>
        <v>2</v>
      </c>
      <c r="N162" t="str">
        <f>TEXT(table1[[#This Row],[Date]],"ddd")</f>
        <v>Mon</v>
      </c>
      <c r="O162" s="2">
        <f>table1[[#This Row],[Credit]]-table1[[#This Row],[Debit]]</f>
        <v>-55</v>
      </c>
    </row>
    <row r="163" spans="5:15" x14ac:dyDescent="0.25">
      <c r="E163" s="1">
        <v>44277</v>
      </c>
      <c r="F163" t="s">
        <v>49</v>
      </c>
      <c r="G163" s="2">
        <v>55</v>
      </c>
      <c r="H163" s="2"/>
      <c r="I163" t="s">
        <v>50</v>
      </c>
      <c r="J163" t="s">
        <v>51</v>
      </c>
      <c r="K163" t="s">
        <v>18</v>
      </c>
      <c r="L163" t="str">
        <f>TEXT(table1[[#This Row],[Date]],"MMM")</f>
        <v>Mar</v>
      </c>
      <c r="M163">
        <f>MONTH(table1[[#This Row],[Date]])</f>
        <v>3</v>
      </c>
      <c r="N163" t="str">
        <f>TEXT(table1[[#This Row],[Date]],"ddd")</f>
        <v>Mon</v>
      </c>
      <c r="O163" s="2">
        <f>table1[[#This Row],[Credit]]-table1[[#This Row],[Debit]]</f>
        <v>-55</v>
      </c>
    </row>
    <row r="164" spans="5:15" x14ac:dyDescent="0.25">
      <c r="E164" s="1">
        <v>44308</v>
      </c>
      <c r="F164" t="s">
        <v>49</v>
      </c>
      <c r="G164" s="2">
        <v>55</v>
      </c>
      <c r="H164" s="2"/>
      <c r="I164" t="s">
        <v>50</v>
      </c>
      <c r="J164" t="s">
        <v>51</v>
      </c>
      <c r="K164" t="s">
        <v>18</v>
      </c>
      <c r="L164" t="str">
        <f>TEXT(table1[[#This Row],[Date]],"MMM")</f>
        <v>Apr</v>
      </c>
      <c r="M164">
        <f>MONTH(table1[[#This Row],[Date]])</f>
        <v>4</v>
      </c>
      <c r="N164" t="str">
        <f>TEXT(table1[[#This Row],[Date]],"ddd")</f>
        <v>Thu</v>
      </c>
      <c r="O164" s="2">
        <f>table1[[#This Row],[Credit]]-table1[[#This Row],[Debit]]</f>
        <v>-55</v>
      </c>
    </row>
    <row r="165" spans="5:15" x14ac:dyDescent="0.25">
      <c r="E165" s="1">
        <v>44339</v>
      </c>
      <c r="F165" t="s">
        <v>49</v>
      </c>
      <c r="G165" s="2">
        <v>55</v>
      </c>
      <c r="H165" s="2"/>
      <c r="I165" t="s">
        <v>50</v>
      </c>
      <c r="J165" t="s">
        <v>51</v>
      </c>
      <c r="K165" t="s">
        <v>18</v>
      </c>
      <c r="L165" t="str">
        <f>TEXT(table1[[#This Row],[Date]],"MMM")</f>
        <v>May</v>
      </c>
      <c r="M165">
        <f>MONTH(table1[[#This Row],[Date]])</f>
        <v>5</v>
      </c>
      <c r="N165" t="str">
        <f>TEXT(table1[[#This Row],[Date]],"ddd")</f>
        <v>Sun</v>
      </c>
      <c r="O165" s="2">
        <f>table1[[#This Row],[Credit]]-table1[[#This Row],[Debit]]</f>
        <v>-55</v>
      </c>
    </row>
    <row r="166" spans="5:15" x14ac:dyDescent="0.25">
      <c r="E166" s="1">
        <v>44356</v>
      </c>
      <c r="F166" t="s">
        <v>27</v>
      </c>
      <c r="G166" s="2">
        <v>55</v>
      </c>
      <c r="H166" s="2"/>
      <c r="I166" t="s">
        <v>28</v>
      </c>
      <c r="J166" t="s">
        <v>21</v>
      </c>
      <c r="K166" t="s">
        <v>18</v>
      </c>
      <c r="L166" t="str">
        <f>TEXT(table1[[#This Row],[Date]],"MMM")</f>
        <v>Jun</v>
      </c>
      <c r="M166">
        <f>MONTH(table1[[#This Row],[Date]])</f>
        <v>6</v>
      </c>
      <c r="N166" t="str">
        <f>TEXT(table1[[#This Row],[Date]],"ddd")</f>
        <v>Wed</v>
      </c>
      <c r="O166" s="2">
        <f>table1[[#This Row],[Credit]]-table1[[#This Row],[Debit]]</f>
        <v>-55</v>
      </c>
    </row>
    <row r="167" spans="5:15" x14ac:dyDescent="0.25">
      <c r="E167" s="1">
        <v>44370</v>
      </c>
      <c r="F167" t="s">
        <v>49</v>
      </c>
      <c r="G167" s="2">
        <v>55</v>
      </c>
      <c r="H167" s="2"/>
      <c r="I167" t="s">
        <v>50</v>
      </c>
      <c r="J167" t="s">
        <v>51</v>
      </c>
      <c r="K167" t="s">
        <v>18</v>
      </c>
      <c r="L167" t="str">
        <f>TEXT(table1[[#This Row],[Date]],"MMM")</f>
        <v>Jun</v>
      </c>
      <c r="M167">
        <f>MONTH(table1[[#This Row],[Date]])</f>
        <v>6</v>
      </c>
      <c r="N167" t="str">
        <f>TEXT(table1[[#This Row],[Date]],"ddd")</f>
        <v>Wed</v>
      </c>
      <c r="O167" s="2">
        <f>table1[[#This Row],[Credit]]-table1[[#This Row],[Debit]]</f>
        <v>-55</v>
      </c>
    </row>
    <row r="168" spans="5:15" x14ac:dyDescent="0.25">
      <c r="E168" s="1">
        <v>44401</v>
      </c>
      <c r="F168" t="s">
        <v>49</v>
      </c>
      <c r="G168" s="2">
        <v>55</v>
      </c>
      <c r="H168" s="2"/>
      <c r="I168" t="s">
        <v>50</v>
      </c>
      <c r="J168" t="s">
        <v>51</v>
      </c>
      <c r="K168" t="s">
        <v>18</v>
      </c>
      <c r="L168" t="str">
        <f>TEXT(table1[[#This Row],[Date]],"MMM")</f>
        <v>Jul</v>
      </c>
      <c r="M168">
        <f>MONTH(table1[[#This Row],[Date]])</f>
        <v>7</v>
      </c>
      <c r="N168" t="str">
        <f>TEXT(table1[[#This Row],[Date]],"ddd")</f>
        <v>Sat</v>
      </c>
      <c r="O168" s="2">
        <f>table1[[#This Row],[Credit]]-table1[[#This Row],[Debit]]</f>
        <v>-55</v>
      </c>
    </row>
    <row r="169" spans="5:15" x14ac:dyDescent="0.25">
      <c r="E169" s="1">
        <v>44432</v>
      </c>
      <c r="F169" t="s">
        <v>49</v>
      </c>
      <c r="G169" s="2">
        <v>55</v>
      </c>
      <c r="H169" s="2"/>
      <c r="I169" t="s">
        <v>50</v>
      </c>
      <c r="J169" t="s">
        <v>51</v>
      </c>
      <c r="K169" t="s">
        <v>18</v>
      </c>
      <c r="L169" t="str">
        <f>TEXT(table1[[#This Row],[Date]],"MMM")</f>
        <v>Aug</v>
      </c>
      <c r="M169">
        <f>MONTH(table1[[#This Row],[Date]])</f>
        <v>8</v>
      </c>
      <c r="N169" t="str">
        <f>TEXT(table1[[#This Row],[Date]],"ddd")</f>
        <v>Tue</v>
      </c>
      <c r="O169" s="2">
        <f>table1[[#This Row],[Credit]]-table1[[#This Row],[Debit]]</f>
        <v>-55</v>
      </c>
    </row>
    <row r="170" spans="5:15" x14ac:dyDescent="0.25">
      <c r="E170" s="1">
        <v>44463</v>
      </c>
      <c r="F170" t="s">
        <v>49</v>
      </c>
      <c r="G170" s="2">
        <v>55</v>
      </c>
      <c r="H170" s="2"/>
      <c r="I170" t="s">
        <v>50</v>
      </c>
      <c r="J170" t="s">
        <v>51</v>
      </c>
      <c r="K170" t="s">
        <v>18</v>
      </c>
      <c r="L170" t="str">
        <f>TEXT(table1[[#This Row],[Date]],"MMM")</f>
        <v>Sep</v>
      </c>
      <c r="M170">
        <f>MONTH(table1[[#This Row],[Date]])</f>
        <v>9</v>
      </c>
      <c r="N170" t="str">
        <f>TEXT(table1[[#This Row],[Date]],"ddd")</f>
        <v>Fri</v>
      </c>
      <c r="O170" s="2">
        <f>table1[[#This Row],[Credit]]-table1[[#This Row],[Debit]]</f>
        <v>-55</v>
      </c>
    </row>
    <row r="171" spans="5:15" x14ac:dyDescent="0.25">
      <c r="E171" s="1">
        <v>44494</v>
      </c>
      <c r="F171" t="s">
        <v>49</v>
      </c>
      <c r="G171" s="2">
        <v>55</v>
      </c>
      <c r="H171" s="2"/>
      <c r="I171" t="s">
        <v>50</v>
      </c>
      <c r="J171" t="s">
        <v>51</v>
      </c>
      <c r="K171" t="s">
        <v>18</v>
      </c>
      <c r="L171" t="str">
        <f>TEXT(table1[[#This Row],[Date]],"MMM")</f>
        <v>Oct</v>
      </c>
      <c r="M171">
        <f>MONTH(table1[[#This Row],[Date]])</f>
        <v>10</v>
      </c>
      <c r="N171" t="str">
        <f>TEXT(table1[[#This Row],[Date]],"ddd")</f>
        <v>Mon</v>
      </c>
      <c r="O171" s="2">
        <f>table1[[#This Row],[Credit]]-table1[[#This Row],[Debit]]</f>
        <v>-55</v>
      </c>
    </row>
    <row r="172" spans="5:15" x14ac:dyDescent="0.25">
      <c r="E172" s="1">
        <v>44299</v>
      </c>
      <c r="F172" t="s">
        <v>35</v>
      </c>
      <c r="G172" s="2">
        <v>54.9</v>
      </c>
      <c r="H172" s="2"/>
      <c r="I172" t="s">
        <v>36</v>
      </c>
      <c r="J172" t="s">
        <v>17</v>
      </c>
      <c r="K172" t="s">
        <v>18</v>
      </c>
      <c r="L172" t="str">
        <f>TEXT(table1[[#This Row],[Date]],"MMM")</f>
        <v>Apr</v>
      </c>
      <c r="M172">
        <f>MONTH(table1[[#This Row],[Date]])</f>
        <v>4</v>
      </c>
      <c r="N172" t="str">
        <f>TEXT(table1[[#This Row],[Date]],"ddd")</f>
        <v>Tue</v>
      </c>
      <c r="O172" s="2">
        <f>table1[[#This Row],[Credit]]-table1[[#This Row],[Debit]]</f>
        <v>-54.9</v>
      </c>
    </row>
    <row r="173" spans="5:15" x14ac:dyDescent="0.25">
      <c r="E173" s="1">
        <v>44325</v>
      </c>
      <c r="F173" t="s">
        <v>27</v>
      </c>
      <c r="G173" s="2">
        <v>54.1</v>
      </c>
      <c r="H173" s="2"/>
      <c r="I173" t="s">
        <v>28</v>
      </c>
      <c r="J173" t="s">
        <v>21</v>
      </c>
      <c r="K173" t="s">
        <v>18</v>
      </c>
      <c r="L173" t="str">
        <f>TEXT(table1[[#This Row],[Date]],"MMM")</f>
        <v>May</v>
      </c>
      <c r="M173">
        <f>MONTH(table1[[#This Row],[Date]])</f>
        <v>5</v>
      </c>
      <c r="N173" t="str">
        <f>TEXT(table1[[#This Row],[Date]],"ddd")</f>
        <v>Sun</v>
      </c>
      <c r="O173" s="2">
        <f>table1[[#This Row],[Credit]]-table1[[#This Row],[Debit]]</f>
        <v>-54.1</v>
      </c>
    </row>
    <row r="174" spans="5:15" x14ac:dyDescent="0.25">
      <c r="E174" s="1">
        <v>44489</v>
      </c>
      <c r="F174" t="s">
        <v>44</v>
      </c>
      <c r="G174" s="2">
        <v>54.1</v>
      </c>
      <c r="H174" s="2"/>
      <c r="I174" t="s">
        <v>45</v>
      </c>
      <c r="J174" t="s">
        <v>32</v>
      </c>
      <c r="K174" t="s">
        <v>18</v>
      </c>
      <c r="L174" t="str">
        <f>TEXT(table1[[#This Row],[Date]],"MMM")</f>
        <v>Oct</v>
      </c>
      <c r="M174">
        <f>MONTH(table1[[#This Row],[Date]])</f>
        <v>10</v>
      </c>
      <c r="N174" t="str">
        <f>TEXT(table1[[#This Row],[Date]],"ddd")</f>
        <v>Wed</v>
      </c>
      <c r="O174" s="2">
        <f>table1[[#This Row],[Credit]]-table1[[#This Row],[Debit]]</f>
        <v>-54.1</v>
      </c>
    </row>
    <row r="175" spans="5:15" x14ac:dyDescent="0.25">
      <c r="E175" s="1">
        <v>44268</v>
      </c>
      <c r="F175" t="s">
        <v>35</v>
      </c>
      <c r="G175" s="2">
        <v>54</v>
      </c>
      <c r="H175" s="2"/>
      <c r="I175" t="s">
        <v>36</v>
      </c>
      <c r="J175" t="s">
        <v>17</v>
      </c>
      <c r="K175" t="s">
        <v>18</v>
      </c>
      <c r="L175" t="str">
        <f>TEXT(table1[[#This Row],[Date]],"MMM")</f>
        <v>Mar</v>
      </c>
      <c r="M175">
        <f>MONTH(table1[[#This Row],[Date]])</f>
        <v>3</v>
      </c>
      <c r="N175" t="str">
        <f>TEXT(table1[[#This Row],[Date]],"ddd")</f>
        <v>Sat</v>
      </c>
      <c r="O175" s="2">
        <f>table1[[#This Row],[Credit]]-table1[[#This Row],[Debit]]</f>
        <v>-54</v>
      </c>
    </row>
    <row r="176" spans="5:15" x14ac:dyDescent="0.25">
      <c r="E176" s="1">
        <v>44294</v>
      </c>
      <c r="F176" t="s">
        <v>27</v>
      </c>
      <c r="G176" s="2">
        <v>53.2</v>
      </c>
      <c r="H176" s="2"/>
      <c r="I176" t="s">
        <v>28</v>
      </c>
      <c r="J176" t="s">
        <v>21</v>
      </c>
      <c r="K176" t="s">
        <v>18</v>
      </c>
      <c r="L176" t="str">
        <f>TEXT(table1[[#This Row],[Date]],"MMM")</f>
        <v>Apr</v>
      </c>
      <c r="M176">
        <f>MONTH(table1[[#This Row],[Date]])</f>
        <v>4</v>
      </c>
      <c r="N176" t="str">
        <f>TEXT(table1[[#This Row],[Date]],"ddd")</f>
        <v>Thu</v>
      </c>
      <c r="O176" s="2">
        <f>table1[[#This Row],[Credit]]-table1[[#This Row],[Debit]]</f>
        <v>-53.2</v>
      </c>
    </row>
    <row r="177" spans="5:15" x14ac:dyDescent="0.25">
      <c r="E177" s="1">
        <v>44240</v>
      </c>
      <c r="F177" t="s">
        <v>35</v>
      </c>
      <c r="G177" s="2">
        <v>53</v>
      </c>
      <c r="H177" s="2"/>
      <c r="I177" t="s">
        <v>36</v>
      </c>
      <c r="J177" t="s">
        <v>17</v>
      </c>
      <c r="K177" t="s">
        <v>18</v>
      </c>
      <c r="L177" t="str">
        <f>TEXT(table1[[#This Row],[Date]],"MMM")</f>
        <v>Feb</v>
      </c>
      <c r="M177">
        <f>MONTH(table1[[#This Row],[Date]])</f>
        <v>2</v>
      </c>
      <c r="N177" t="str">
        <f>TEXT(table1[[#This Row],[Date]],"ddd")</f>
        <v>Sat</v>
      </c>
      <c r="O177" s="2">
        <f>table1[[#This Row],[Credit]]-table1[[#This Row],[Debit]]</f>
        <v>-53</v>
      </c>
    </row>
    <row r="178" spans="5:15" x14ac:dyDescent="0.25">
      <c r="E178" s="1">
        <v>44458</v>
      </c>
      <c r="F178" t="s">
        <v>44</v>
      </c>
      <c r="G178" s="2">
        <v>53</v>
      </c>
      <c r="H178" s="2"/>
      <c r="I178" t="s">
        <v>45</v>
      </c>
      <c r="J178" t="s">
        <v>32</v>
      </c>
      <c r="K178" t="s">
        <v>18</v>
      </c>
      <c r="L178" t="str">
        <f>TEXT(table1[[#This Row],[Date]],"MMM")</f>
        <v>Sep</v>
      </c>
      <c r="M178">
        <f>MONTH(table1[[#This Row],[Date]])</f>
        <v>9</v>
      </c>
      <c r="N178" t="str">
        <f>TEXT(table1[[#This Row],[Date]],"ddd")</f>
        <v>Sun</v>
      </c>
      <c r="O178" s="2">
        <f>table1[[#This Row],[Credit]]-table1[[#This Row],[Debit]]</f>
        <v>-53</v>
      </c>
    </row>
    <row r="179" spans="5:15" x14ac:dyDescent="0.25">
      <c r="E179" s="1">
        <v>44263</v>
      </c>
      <c r="F179" t="s">
        <v>27</v>
      </c>
      <c r="G179" s="2">
        <v>52.1</v>
      </c>
      <c r="H179" s="2"/>
      <c r="I179" t="s">
        <v>28</v>
      </c>
      <c r="J179" t="s">
        <v>21</v>
      </c>
      <c r="K179" t="s">
        <v>18</v>
      </c>
      <c r="L179" t="str">
        <f>TEXT(table1[[#This Row],[Date]],"MMM")</f>
        <v>Mar</v>
      </c>
      <c r="M179">
        <f>MONTH(table1[[#This Row],[Date]])</f>
        <v>3</v>
      </c>
      <c r="N179" t="str">
        <f>TEXT(table1[[#This Row],[Date]],"ddd")</f>
        <v>Mon</v>
      </c>
      <c r="O179" s="2">
        <f>table1[[#This Row],[Credit]]-table1[[#This Row],[Debit]]</f>
        <v>-52.1</v>
      </c>
    </row>
    <row r="180" spans="5:15" x14ac:dyDescent="0.25">
      <c r="E180" s="1">
        <v>44427</v>
      </c>
      <c r="F180" t="s">
        <v>44</v>
      </c>
      <c r="G180" s="2">
        <v>52.1</v>
      </c>
      <c r="H180" s="2"/>
      <c r="I180" t="s">
        <v>45</v>
      </c>
      <c r="J180" t="s">
        <v>32</v>
      </c>
      <c r="K180" t="s">
        <v>18</v>
      </c>
      <c r="L180" t="str">
        <f>TEXT(table1[[#This Row],[Date]],"MMM")</f>
        <v>Aug</v>
      </c>
      <c r="M180">
        <f>MONTH(table1[[#This Row],[Date]])</f>
        <v>8</v>
      </c>
      <c r="N180" t="str">
        <f>TEXT(table1[[#This Row],[Date]],"ddd")</f>
        <v>Thu</v>
      </c>
      <c r="O180" s="2">
        <f>table1[[#This Row],[Credit]]-table1[[#This Row],[Debit]]</f>
        <v>-52.1</v>
      </c>
    </row>
    <row r="181" spans="5:15" x14ac:dyDescent="0.25">
      <c r="E181" s="1">
        <v>44212</v>
      </c>
      <c r="F181" t="s">
        <v>35</v>
      </c>
      <c r="G181" s="2">
        <v>52</v>
      </c>
      <c r="H181" s="2"/>
      <c r="I181" t="s">
        <v>36</v>
      </c>
      <c r="J181" t="s">
        <v>17</v>
      </c>
      <c r="K181" t="s">
        <v>18</v>
      </c>
      <c r="L181" t="str">
        <f>TEXT(table1[[#This Row],[Date]],"MMM")</f>
        <v>Jan</v>
      </c>
      <c r="M181">
        <f>MONTH(table1[[#This Row],[Date]])</f>
        <v>1</v>
      </c>
      <c r="N181" t="str">
        <f>TEXT(table1[[#This Row],[Date]],"ddd")</f>
        <v>Sat</v>
      </c>
      <c r="O181" s="2">
        <f>table1[[#This Row],[Credit]]-table1[[#This Row],[Debit]]</f>
        <v>-52</v>
      </c>
    </row>
    <row r="182" spans="5:15" x14ac:dyDescent="0.25">
      <c r="E182" s="1">
        <v>44235</v>
      </c>
      <c r="F182" t="s">
        <v>27</v>
      </c>
      <c r="G182" s="2">
        <v>51.1</v>
      </c>
      <c r="H182" s="2"/>
      <c r="I182" t="s">
        <v>28</v>
      </c>
      <c r="J182" t="s">
        <v>21</v>
      </c>
      <c r="K182" t="s">
        <v>18</v>
      </c>
      <c r="L182" t="str">
        <f>TEXT(table1[[#This Row],[Date]],"MMM")</f>
        <v>Feb</v>
      </c>
      <c r="M182">
        <f>MONTH(table1[[#This Row],[Date]])</f>
        <v>2</v>
      </c>
      <c r="N182" t="str">
        <f>TEXT(table1[[#This Row],[Date]],"ddd")</f>
        <v>Mon</v>
      </c>
      <c r="O182" s="2">
        <f>table1[[#This Row],[Credit]]-table1[[#This Row],[Debit]]</f>
        <v>-51.1</v>
      </c>
    </row>
    <row r="183" spans="5:15" x14ac:dyDescent="0.25">
      <c r="E183" s="1">
        <v>44396</v>
      </c>
      <c r="F183" t="s">
        <v>44</v>
      </c>
      <c r="G183" s="2">
        <v>51.1</v>
      </c>
      <c r="H183" s="2"/>
      <c r="I183" t="s">
        <v>45</v>
      </c>
      <c r="J183" t="s">
        <v>32</v>
      </c>
      <c r="K183" t="s">
        <v>18</v>
      </c>
      <c r="L183" t="str">
        <f>TEXT(table1[[#This Row],[Date]],"MMM")</f>
        <v>Jul</v>
      </c>
      <c r="M183">
        <f>MONTH(table1[[#This Row],[Date]])</f>
        <v>7</v>
      </c>
      <c r="N183" t="str">
        <f>TEXT(table1[[#This Row],[Date]],"ddd")</f>
        <v>Mon</v>
      </c>
      <c r="O183" s="2">
        <f>table1[[#This Row],[Credit]]-table1[[#This Row],[Debit]]</f>
        <v>-51.1</v>
      </c>
    </row>
    <row r="184" spans="5:15" x14ac:dyDescent="0.25">
      <c r="E184" s="1">
        <v>44365</v>
      </c>
      <c r="F184" t="s">
        <v>44</v>
      </c>
      <c r="G184" s="2">
        <v>50.1</v>
      </c>
      <c r="H184" s="2"/>
      <c r="I184" t="s">
        <v>45</v>
      </c>
      <c r="J184" t="s">
        <v>32</v>
      </c>
      <c r="K184" t="s">
        <v>18</v>
      </c>
      <c r="L184" t="str">
        <f>TEXT(table1[[#This Row],[Date]],"MMM")</f>
        <v>Jun</v>
      </c>
      <c r="M184">
        <f>MONTH(table1[[#This Row],[Date]])</f>
        <v>6</v>
      </c>
      <c r="N184" t="str">
        <f>TEXT(table1[[#This Row],[Date]],"ddd")</f>
        <v>Fri</v>
      </c>
      <c r="O184" s="2">
        <f>table1[[#This Row],[Credit]]-table1[[#This Row],[Debit]]</f>
        <v>-50.1</v>
      </c>
    </row>
    <row r="185" spans="5:15" x14ac:dyDescent="0.25">
      <c r="E185" s="1">
        <v>44207</v>
      </c>
      <c r="F185" t="s">
        <v>27</v>
      </c>
      <c r="G185" s="2">
        <v>50</v>
      </c>
      <c r="H185" s="2"/>
      <c r="I185" t="s">
        <v>28</v>
      </c>
      <c r="J185" t="s">
        <v>21</v>
      </c>
      <c r="K185" t="s">
        <v>18</v>
      </c>
      <c r="L185" t="str">
        <f>TEXT(table1[[#This Row],[Date]],"MMM")</f>
        <v>Jan</v>
      </c>
      <c r="M185">
        <f>MONTH(table1[[#This Row],[Date]])</f>
        <v>1</v>
      </c>
      <c r="N185" t="str">
        <f>TEXT(table1[[#This Row],[Date]],"ddd")</f>
        <v>Mon</v>
      </c>
      <c r="O185" s="2">
        <f>table1[[#This Row],[Credit]]-table1[[#This Row],[Debit]]</f>
        <v>-50</v>
      </c>
    </row>
    <row r="186" spans="5:15" x14ac:dyDescent="0.25">
      <c r="E186" s="1">
        <v>44334</v>
      </c>
      <c r="F186" t="s">
        <v>44</v>
      </c>
      <c r="G186" s="2">
        <v>49</v>
      </c>
      <c r="H186" s="2"/>
      <c r="I186" t="s">
        <v>45</v>
      </c>
      <c r="J186" t="s">
        <v>32</v>
      </c>
      <c r="K186" t="s">
        <v>18</v>
      </c>
      <c r="L186" t="str">
        <f>TEXT(table1[[#This Row],[Date]],"MMM")</f>
        <v>May</v>
      </c>
      <c r="M186">
        <f>MONTH(table1[[#This Row],[Date]])</f>
        <v>5</v>
      </c>
      <c r="N186" t="str">
        <f>TEXT(table1[[#This Row],[Date]],"ddd")</f>
        <v>Tue</v>
      </c>
      <c r="O186" s="2">
        <f>table1[[#This Row],[Credit]]-table1[[#This Row],[Debit]]</f>
        <v>-49</v>
      </c>
    </row>
    <row r="187" spans="5:15" x14ac:dyDescent="0.25">
      <c r="E187" s="1">
        <v>44485</v>
      </c>
      <c r="F187" t="s">
        <v>30</v>
      </c>
      <c r="G187" s="2">
        <v>48.8</v>
      </c>
      <c r="H187" s="2"/>
      <c r="I187" t="s">
        <v>31</v>
      </c>
      <c r="J187" t="s">
        <v>32</v>
      </c>
      <c r="K187" t="s">
        <v>18</v>
      </c>
      <c r="L187" t="str">
        <f>TEXT(table1[[#This Row],[Date]],"MMM")</f>
        <v>Oct</v>
      </c>
      <c r="M187">
        <f>MONTH(table1[[#This Row],[Date]])</f>
        <v>10</v>
      </c>
      <c r="N187" t="str">
        <f>TEXT(table1[[#This Row],[Date]],"ddd")</f>
        <v>Sat</v>
      </c>
      <c r="O187" s="2">
        <f>table1[[#This Row],[Credit]]-table1[[#This Row],[Debit]]</f>
        <v>-48.8</v>
      </c>
    </row>
    <row r="188" spans="5:15" x14ac:dyDescent="0.25">
      <c r="E188" s="1">
        <v>44303</v>
      </c>
      <c r="F188" t="s">
        <v>44</v>
      </c>
      <c r="G188" s="2">
        <v>47.9</v>
      </c>
      <c r="H188" s="2"/>
      <c r="I188" t="s">
        <v>45</v>
      </c>
      <c r="J188" t="s">
        <v>32</v>
      </c>
      <c r="K188" t="s">
        <v>18</v>
      </c>
      <c r="L188" t="str">
        <f>TEXT(table1[[#This Row],[Date]],"MMM")</f>
        <v>Apr</v>
      </c>
      <c r="M188">
        <f>MONTH(table1[[#This Row],[Date]])</f>
        <v>4</v>
      </c>
      <c r="N188" t="str">
        <f>TEXT(table1[[#This Row],[Date]],"ddd")</f>
        <v>Sat</v>
      </c>
      <c r="O188" s="2">
        <f>table1[[#This Row],[Credit]]-table1[[#This Row],[Debit]]</f>
        <v>-47.9</v>
      </c>
    </row>
    <row r="189" spans="5:15" x14ac:dyDescent="0.25">
      <c r="E189" s="1">
        <v>44454</v>
      </c>
      <c r="F189" t="s">
        <v>30</v>
      </c>
      <c r="G189" s="2">
        <v>47.8</v>
      </c>
      <c r="H189" s="2"/>
      <c r="I189" t="s">
        <v>31</v>
      </c>
      <c r="J189" t="s">
        <v>32</v>
      </c>
      <c r="K189" t="s">
        <v>18</v>
      </c>
      <c r="L189" t="str">
        <f>TEXT(table1[[#This Row],[Date]],"MMM")</f>
        <v>Sep</v>
      </c>
      <c r="M189">
        <f>MONTH(table1[[#This Row],[Date]])</f>
        <v>9</v>
      </c>
      <c r="N189" t="str">
        <f>TEXT(table1[[#This Row],[Date]],"ddd")</f>
        <v>Wed</v>
      </c>
      <c r="O189" s="2">
        <f>table1[[#This Row],[Credit]]-table1[[#This Row],[Debit]]</f>
        <v>-47.8</v>
      </c>
    </row>
    <row r="190" spans="5:15" x14ac:dyDescent="0.25">
      <c r="E190" s="1">
        <v>44272</v>
      </c>
      <c r="F190" t="s">
        <v>44</v>
      </c>
      <c r="G190" s="2">
        <v>46.8</v>
      </c>
      <c r="H190" s="2"/>
      <c r="I190" t="s">
        <v>45</v>
      </c>
      <c r="J190" t="s">
        <v>32</v>
      </c>
      <c r="K190" t="s">
        <v>18</v>
      </c>
      <c r="L190" t="str">
        <f>TEXT(table1[[#This Row],[Date]],"MMM")</f>
        <v>Mar</v>
      </c>
      <c r="M190">
        <f>MONTH(table1[[#This Row],[Date]])</f>
        <v>3</v>
      </c>
      <c r="N190" t="str">
        <f>TEXT(table1[[#This Row],[Date]],"ddd")</f>
        <v>Wed</v>
      </c>
      <c r="O190" s="2">
        <f>table1[[#This Row],[Credit]]-table1[[#This Row],[Debit]]</f>
        <v>-46.8</v>
      </c>
    </row>
    <row r="191" spans="5:15" x14ac:dyDescent="0.25">
      <c r="E191" s="1">
        <v>44423</v>
      </c>
      <c r="F191" t="s">
        <v>30</v>
      </c>
      <c r="G191" s="2">
        <v>46.8</v>
      </c>
      <c r="H191" s="2"/>
      <c r="I191" t="s">
        <v>31</v>
      </c>
      <c r="J191" t="s">
        <v>32</v>
      </c>
      <c r="K191" t="s">
        <v>18</v>
      </c>
      <c r="L191" t="str">
        <f>TEXT(table1[[#This Row],[Date]],"MMM")</f>
        <v>Aug</v>
      </c>
      <c r="M191">
        <f>MONTH(table1[[#This Row],[Date]])</f>
        <v>8</v>
      </c>
      <c r="N191" t="str">
        <f>TEXT(table1[[#This Row],[Date]],"ddd")</f>
        <v>Sun</v>
      </c>
      <c r="O191" s="2">
        <f>table1[[#This Row],[Credit]]-table1[[#This Row],[Debit]]</f>
        <v>-46.8</v>
      </c>
    </row>
    <row r="192" spans="5:15" x14ac:dyDescent="0.25">
      <c r="E192" s="1">
        <v>44492</v>
      </c>
      <c r="F192" t="s">
        <v>47</v>
      </c>
      <c r="G192" s="2">
        <v>46.2</v>
      </c>
      <c r="H192" s="2"/>
      <c r="I192" t="s">
        <v>36</v>
      </c>
      <c r="J192" t="s">
        <v>17</v>
      </c>
      <c r="K192" t="s">
        <v>18</v>
      </c>
      <c r="L192" t="str">
        <f>TEXT(table1[[#This Row],[Date]],"MMM")</f>
        <v>Oct</v>
      </c>
      <c r="M192">
        <f>MONTH(table1[[#This Row],[Date]])</f>
        <v>10</v>
      </c>
      <c r="N192" t="str">
        <f>TEXT(table1[[#This Row],[Date]],"ddd")</f>
        <v>Sat</v>
      </c>
      <c r="O192" s="2">
        <f>table1[[#This Row],[Credit]]-table1[[#This Row],[Debit]]</f>
        <v>-46.2</v>
      </c>
    </row>
    <row r="193" spans="5:15" x14ac:dyDescent="0.25">
      <c r="E193" s="1">
        <v>44244</v>
      </c>
      <c r="F193" t="s">
        <v>44</v>
      </c>
      <c r="G193" s="2">
        <v>45.9</v>
      </c>
      <c r="H193" s="2"/>
      <c r="I193" t="s">
        <v>45</v>
      </c>
      <c r="J193" t="s">
        <v>32</v>
      </c>
      <c r="K193" t="s">
        <v>18</v>
      </c>
      <c r="L193" t="str">
        <f>TEXT(table1[[#This Row],[Date]],"MMM")</f>
        <v>Feb</v>
      </c>
      <c r="M193">
        <f>MONTH(table1[[#This Row],[Date]])</f>
        <v>2</v>
      </c>
      <c r="N193" t="str">
        <f>TEXT(table1[[#This Row],[Date]],"ddd")</f>
        <v>Wed</v>
      </c>
      <c r="O193" s="2">
        <f>table1[[#This Row],[Credit]]-table1[[#This Row],[Debit]]</f>
        <v>-45.9</v>
      </c>
    </row>
    <row r="194" spans="5:15" x14ac:dyDescent="0.25">
      <c r="E194" s="1">
        <v>44392</v>
      </c>
      <c r="F194" t="s">
        <v>30</v>
      </c>
      <c r="G194" s="2">
        <v>45.8</v>
      </c>
      <c r="H194" s="2"/>
      <c r="I194" t="s">
        <v>31</v>
      </c>
      <c r="J194" t="s">
        <v>32</v>
      </c>
      <c r="K194" t="s">
        <v>18</v>
      </c>
      <c r="L194" t="str">
        <f>TEXT(table1[[#This Row],[Date]],"MMM")</f>
        <v>Jul</v>
      </c>
      <c r="M194">
        <f>MONTH(table1[[#This Row],[Date]])</f>
        <v>7</v>
      </c>
      <c r="N194" t="str">
        <f>TEXT(table1[[#This Row],[Date]],"ddd")</f>
        <v>Thu</v>
      </c>
      <c r="O194" s="2">
        <f>table1[[#This Row],[Credit]]-table1[[#This Row],[Debit]]</f>
        <v>-45.8</v>
      </c>
    </row>
    <row r="195" spans="5:15" x14ac:dyDescent="0.25">
      <c r="E195" s="1">
        <v>44461</v>
      </c>
      <c r="F195" t="s">
        <v>47</v>
      </c>
      <c r="G195" s="2">
        <v>45.300000000000004</v>
      </c>
      <c r="H195" s="2"/>
      <c r="I195" t="s">
        <v>36</v>
      </c>
      <c r="J195" t="s">
        <v>17</v>
      </c>
      <c r="K195" t="s">
        <v>18</v>
      </c>
      <c r="L195" t="str">
        <f>TEXT(table1[[#This Row],[Date]],"MMM")</f>
        <v>Sep</v>
      </c>
      <c r="M195">
        <f>MONTH(table1[[#This Row],[Date]])</f>
        <v>9</v>
      </c>
      <c r="N195" t="str">
        <f>TEXT(table1[[#This Row],[Date]],"ddd")</f>
        <v>Wed</v>
      </c>
      <c r="O195" s="2">
        <f>table1[[#This Row],[Credit]]-table1[[#This Row],[Debit]]</f>
        <v>-45.300000000000004</v>
      </c>
    </row>
    <row r="196" spans="5:15" x14ac:dyDescent="0.25">
      <c r="E196" s="1">
        <v>44216</v>
      </c>
      <c r="F196" t="s">
        <v>44</v>
      </c>
      <c r="G196" s="2">
        <v>45</v>
      </c>
      <c r="H196" s="2"/>
      <c r="I196" t="s">
        <v>45</v>
      </c>
      <c r="J196" t="s">
        <v>32</v>
      </c>
      <c r="K196" t="s">
        <v>18</v>
      </c>
      <c r="L196" t="str">
        <f>TEXT(table1[[#This Row],[Date]],"MMM")</f>
        <v>Jan</v>
      </c>
      <c r="M196">
        <f>MONTH(table1[[#This Row],[Date]])</f>
        <v>1</v>
      </c>
      <c r="N196" t="str">
        <f>TEXT(table1[[#This Row],[Date]],"ddd")</f>
        <v>Wed</v>
      </c>
      <c r="O196" s="2">
        <f>table1[[#This Row],[Credit]]-table1[[#This Row],[Debit]]</f>
        <v>-45</v>
      </c>
    </row>
    <row r="197" spans="5:15" x14ac:dyDescent="0.25">
      <c r="E197" s="1">
        <v>44361</v>
      </c>
      <c r="F197" t="s">
        <v>30</v>
      </c>
      <c r="G197" s="2">
        <v>44.9</v>
      </c>
      <c r="H197" s="2"/>
      <c r="I197" t="s">
        <v>31</v>
      </c>
      <c r="J197" t="s">
        <v>32</v>
      </c>
      <c r="K197" t="s">
        <v>18</v>
      </c>
      <c r="L197" t="str">
        <f>TEXT(table1[[#This Row],[Date]],"MMM")</f>
        <v>Jun</v>
      </c>
      <c r="M197">
        <f>MONTH(table1[[#This Row],[Date]])</f>
        <v>6</v>
      </c>
      <c r="N197" t="str">
        <f>TEXT(table1[[#This Row],[Date]],"ddd")</f>
        <v>Mon</v>
      </c>
      <c r="O197" s="2">
        <f>table1[[#This Row],[Credit]]-table1[[#This Row],[Debit]]</f>
        <v>-44.9</v>
      </c>
    </row>
    <row r="198" spans="5:15" x14ac:dyDescent="0.25">
      <c r="E198" s="1">
        <v>44430</v>
      </c>
      <c r="F198" t="s">
        <v>47</v>
      </c>
      <c r="G198" s="2">
        <v>44.2</v>
      </c>
      <c r="H198" s="2"/>
      <c r="I198" t="s">
        <v>36</v>
      </c>
      <c r="J198" t="s">
        <v>17</v>
      </c>
      <c r="K198" t="s">
        <v>18</v>
      </c>
      <c r="L198" t="str">
        <f>TEXT(table1[[#This Row],[Date]],"MMM")</f>
        <v>Aug</v>
      </c>
      <c r="M198">
        <f>MONTH(table1[[#This Row],[Date]])</f>
        <v>8</v>
      </c>
      <c r="N198" t="str">
        <f>TEXT(table1[[#This Row],[Date]],"ddd")</f>
        <v>Sun</v>
      </c>
      <c r="O198" s="2">
        <f>table1[[#This Row],[Credit]]-table1[[#This Row],[Debit]]</f>
        <v>-44.2</v>
      </c>
    </row>
    <row r="199" spans="5:15" x14ac:dyDescent="0.25">
      <c r="E199" s="1">
        <v>44330</v>
      </c>
      <c r="F199" t="s">
        <v>30</v>
      </c>
      <c r="G199" s="2">
        <v>43.9</v>
      </c>
      <c r="H199" s="2"/>
      <c r="I199" t="s">
        <v>31</v>
      </c>
      <c r="J199" t="s">
        <v>32</v>
      </c>
      <c r="K199" t="s">
        <v>18</v>
      </c>
      <c r="L199" t="str">
        <f>TEXT(table1[[#This Row],[Date]],"MMM")</f>
        <v>May</v>
      </c>
      <c r="M199">
        <f>MONTH(table1[[#This Row],[Date]])</f>
        <v>5</v>
      </c>
      <c r="N199" t="str">
        <f>TEXT(table1[[#This Row],[Date]],"ddd")</f>
        <v>Fri</v>
      </c>
      <c r="O199" s="2">
        <f>table1[[#This Row],[Credit]]-table1[[#This Row],[Debit]]</f>
        <v>-43.9</v>
      </c>
    </row>
    <row r="200" spans="5:15" x14ac:dyDescent="0.25">
      <c r="E200" s="1">
        <v>44399</v>
      </c>
      <c r="F200" t="s">
        <v>47</v>
      </c>
      <c r="G200" s="2">
        <v>43.1</v>
      </c>
      <c r="H200" s="2"/>
      <c r="I200" t="s">
        <v>36</v>
      </c>
      <c r="J200" t="s">
        <v>17</v>
      </c>
      <c r="K200" t="s">
        <v>18</v>
      </c>
      <c r="L200" t="str">
        <f>TEXT(table1[[#This Row],[Date]],"MMM")</f>
        <v>Jul</v>
      </c>
      <c r="M200">
        <f>MONTH(table1[[#This Row],[Date]])</f>
        <v>7</v>
      </c>
      <c r="N200" t="str">
        <f>TEXT(table1[[#This Row],[Date]],"ddd")</f>
        <v>Thu</v>
      </c>
      <c r="O200" s="2">
        <f>table1[[#This Row],[Credit]]-table1[[#This Row],[Debit]]</f>
        <v>-43.1</v>
      </c>
    </row>
    <row r="201" spans="5:15" x14ac:dyDescent="0.25">
      <c r="E201" s="1">
        <v>44299</v>
      </c>
      <c r="F201" t="s">
        <v>30</v>
      </c>
      <c r="G201" s="2">
        <v>42.8</v>
      </c>
      <c r="H201" s="2"/>
      <c r="I201" t="s">
        <v>31</v>
      </c>
      <c r="J201" t="s">
        <v>32</v>
      </c>
      <c r="K201" t="s">
        <v>18</v>
      </c>
      <c r="L201" t="str">
        <f>TEXT(table1[[#This Row],[Date]],"MMM")</f>
        <v>Apr</v>
      </c>
      <c r="M201">
        <f>MONTH(table1[[#This Row],[Date]])</f>
        <v>4</v>
      </c>
      <c r="N201" t="str">
        <f>TEXT(table1[[#This Row],[Date]],"ddd")</f>
        <v>Tue</v>
      </c>
      <c r="O201" s="2">
        <f>table1[[#This Row],[Credit]]-table1[[#This Row],[Debit]]</f>
        <v>-42.8</v>
      </c>
    </row>
    <row r="202" spans="5:15" x14ac:dyDescent="0.25">
      <c r="E202" s="1">
        <v>44368</v>
      </c>
      <c r="F202" t="s">
        <v>47</v>
      </c>
      <c r="G202" s="2">
        <v>42.1</v>
      </c>
      <c r="H202" s="2"/>
      <c r="I202" t="s">
        <v>36</v>
      </c>
      <c r="J202" t="s">
        <v>17</v>
      </c>
      <c r="K202" t="s">
        <v>18</v>
      </c>
      <c r="L202" t="str">
        <f>TEXT(table1[[#This Row],[Date]],"MMM")</f>
        <v>Jun</v>
      </c>
      <c r="M202">
        <f>MONTH(table1[[#This Row],[Date]])</f>
        <v>6</v>
      </c>
      <c r="N202" t="str">
        <f>TEXT(table1[[#This Row],[Date]],"ddd")</f>
        <v>Mon</v>
      </c>
      <c r="O202" s="2">
        <f>table1[[#This Row],[Credit]]-table1[[#This Row],[Debit]]</f>
        <v>-42.1</v>
      </c>
    </row>
    <row r="203" spans="5:15" x14ac:dyDescent="0.25">
      <c r="E203" s="1">
        <v>44268</v>
      </c>
      <c r="F203" t="s">
        <v>30</v>
      </c>
      <c r="G203" s="2">
        <v>41.8</v>
      </c>
      <c r="H203" s="2"/>
      <c r="I203" t="s">
        <v>31</v>
      </c>
      <c r="J203" t="s">
        <v>32</v>
      </c>
      <c r="K203" t="s">
        <v>18</v>
      </c>
      <c r="L203" t="str">
        <f>TEXT(table1[[#This Row],[Date]],"MMM")</f>
        <v>Mar</v>
      </c>
      <c r="M203">
        <f>MONTH(table1[[#This Row],[Date]])</f>
        <v>3</v>
      </c>
      <c r="N203" t="str">
        <f>TEXT(table1[[#This Row],[Date]],"ddd")</f>
        <v>Sat</v>
      </c>
      <c r="O203" s="2">
        <f>table1[[#This Row],[Credit]]-table1[[#This Row],[Debit]]</f>
        <v>-41.8</v>
      </c>
    </row>
    <row r="204" spans="5:15" x14ac:dyDescent="0.25">
      <c r="E204" s="1">
        <v>44337</v>
      </c>
      <c r="F204" t="s">
        <v>47</v>
      </c>
      <c r="G204" s="2">
        <v>41.1</v>
      </c>
      <c r="H204" s="2"/>
      <c r="I204" t="s">
        <v>36</v>
      </c>
      <c r="J204" t="s">
        <v>17</v>
      </c>
      <c r="K204" t="s">
        <v>18</v>
      </c>
      <c r="L204" t="str">
        <f>TEXT(table1[[#This Row],[Date]],"MMM")</f>
        <v>May</v>
      </c>
      <c r="M204">
        <f>MONTH(table1[[#This Row],[Date]])</f>
        <v>5</v>
      </c>
      <c r="N204" t="str">
        <f>TEXT(table1[[#This Row],[Date]],"ddd")</f>
        <v>Fri</v>
      </c>
      <c r="O204" s="2">
        <f>table1[[#This Row],[Credit]]-table1[[#This Row],[Debit]]</f>
        <v>-41.1</v>
      </c>
    </row>
    <row r="205" spans="5:15" x14ac:dyDescent="0.25">
      <c r="E205" s="1">
        <v>44240</v>
      </c>
      <c r="F205" t="s">
        <v>30</v>
      </c>
      <c r="G205" s="2">
        <v>40.9</v>
      </c>
      <c r="H205" s="2"/>
      <c r="I205" t="s">
        <v>31</v>
      </c>
      <c r="J205" t="s">
        <v>32</v>
      </c>
      <c r="K205" t="s">
        <v>18</v>
      </c>
      <c r="L205" t="str">
        <f>TEXT(table1[[#This Row],[Date]],"MMM")</f>
        <v>Feb</v>
      </c>
      <c r="M205">
        <f>MONTH(table1[[#This Row],[Date]])</f>
        <v>2</v>
      </c>
      <c r="N205" t="str">
        <f>TEXT(table1[[#This Row],[Date]],"ddd")</f>
        <v>Sat</v>
      </c>
      <c r="O205" s="2">
        <f>table1[[#This Row],[Credit]]-table1[[#This Row],[Debit]]</f>
        <v>-40.9</v>
      </c>
    </row>
    <row r="206" spans="5:15" x14ac:dyDescent="0.25">
      <c r="E206" s="1">
        <v>44306</v>
      </c>
      <c r="F206" t="s">
        <v>47</v>
      </c>
      <c r="G206" s="2">
        <v>40.1</v>
      </c>
      <c r="H206" s="2"/>
      <c r="I206" t="s">
        <v>36</v>
      </c>
      <c r="J206" t="s">
        <v>17</v>
      </c>
      <c r="K206" t="s">
        <v>18</v>
      </c>
      <c r="L206" t="str">
        <f>TEXT(table1[[#This Row],[Date]],"MMM")</f>
        <v>Apr</v>
      </c>
      <c r="M206">
        <f>MONTH(table1[[#This Row],[Date]])</f>
        <v>4</v>
      </c>
      <c r="N206" t="str">
        <f>TEXT(table1[[#This Row],[Date]],"ddd")</f>
        <v>Tue</v>
      </c>
      <c r="O206" s="2">
        <f>table1[[#This Row],[Credit]]-table1[[#This Row],[Debit]]</f>
        <v>-40.1</v>
      </c>
    </row>
    <row r="207" spans="5:15" x14ac:dyDescent="0.25">
      <c r="E207" s="1">
        <v>44212</v>
      </c>
      <c r="F207" t="s">
        <v>30</v>
      </c>
      <c r="G207" s="2">
        <v>40</v>
      </c>
      <c r="H207" s="2"/>
      <c r="I207" t="s">
        <v>31</v>
      </c>
      <c r="J207" t="s">
        <v>32</v>
      </c>
      <c r="K207" t="s">
        <v>18</v>
      </c>
      <c r="L207" t="str">
        <f>TEXT(table1[[#This Row],[Date]],"MMM")</f>
        <v>Jan</v>
      </c>
      <c r="M207">
        <f>MONTH(table1[[#This Row],[Date]])</f>
        <v>1</v>
      </c>
      <c r="N207" t="str">
        <f>TEXT(table1[[#This Row],[Date]],"ddd")</f>
        <v>Sat</v>
      </c>
      <c r="O207" s="2">
        <f>table1[[#This Row],[Credit]]-table1[[#This Row],[Debit]]</f>
        <v>-40</v>
      </c>
    </row>
    <row r="208" spans="5:15" x14ac:dyDescent="0.25">
      <c r="E208" s="1">
        <v>44215</v>
      </c>
      <c r="F208" t="s">
        <v>43</v>
      </c>
      <c r="G208" s="2">
        <v>40</v>
      </c>
      <c r="H208" s="2"/>
      <c r="I208" t="s">
        <v>43</v>
      </c>
      <c r="J208" t="s">
        <v>21</v>
      </c>
      <c r="K208" t="s">
        <v>18</v>
      </c>
      <c r="L208" t="str">
        <f>TEXT(table1[[#This Row],[Date]],"MMM")</f>
        <v>Jan</v>
      </c>
      <c r="M208">
        <f>MONTH(table1[[#This Row],[Date]])</f>
        <v>1</v>
      </c>
      <c r="N208" t="str">
        <f>TEXT(table1[[#This Row],[Date]],"ddd")</f>
        <v>Tue</v>
      </c>
      <c r="O208" s="2">
        <f>table1[[#This Row],[Credit]]-table1[[#This Row],[Debit]]</f>
        <v>-40</v>
      </c>
    </row>
    <row r="209" spans="5:15" x14ac:dyDescent="0.25">
      <c r="E209" s="1">
        <v>44243</v>
      </c>
      <c r="F209" t="s">
        <v>43</v>
      </c>
      <c r="G209" s="2">
        <v>40</v>
      </c>
      <c r="H209" s="2"/>
      <c r="I209" t="s">
        <v>43</v>
      </c>
      <c r="J209" t="s">
        <v>21</v>
      </c>
      <c r="K209" t="s">
        <v>18</v>
      </c>
      <c r="L209" t="str">
        <f>TEXT(table1[[#This Row],[Date]],"MMM")</f>
        <v>Feb</v>
      </c>
      <c r="M209">
        <f>MONTH(table1[[#This Row],[Date]])</f>
        <v>2</v>
      </c>
      <c r="N209" t="str">
        <f>TEXT(table1[[#This Row],[Date]],"ddd")</f>
        <v>Tue</v>
      </c>
      <c r="O209" s="2">
        <f>table1[[#This Row],[Credit]]-table1[[#This Row],[Debit]]</f>
        <v>-40</v>
      </c>
    </row>
    <row r="210" spans="5:15" x14ac:dyDescent="0.25">
      <c r="E210" s="1">
        <v>44271</v>
      </c>
      <c r="F210" t="s">
        <v>43</v>
      </c>
      <c r="G210" s="2">
        <v>40</v>
      </c>
      <c r="H210" s="2"/>
      <c r="I210" t="s">
        <v>43</v>
      </c>
      <c r="J210" t="s">
        <v>21</v>
      </c>
      <c r="K210" t="s">
        <v>18</v>
      </c>
      <c r="L210" t="str">
        <f>TEXT(table1[[#This Row],[Date]],"MMM")</f>
        <v>Mar</v>
      </c>
      <c r="M210">
        <f>MONTH(table1[[#This Row],[Date]])</f>
        <v>3</v>
      </c>
      <c r="N210" t="str">
        <f>TEXT(table1[[#This Row],[Date]],"ddd")</f>
        <v>Tue</v>
      </c>
      <c r="O210" s="2">
        <f>table1[[#This Row],[Credit]]-table1[[#This Row],[Debit]]</f>
        <v>-40</v>
      </c>
    </row>
    <row r="211" spans="5:15" x14ac:dyDescent="0.25">
      <c r="E211" s="1">
        <v>44302</v>
      </c>
      <c r="F211" t="s">
        <v>43</v>
      </c>
      <c r="G211" s="2">
        <v>40</v>
      </c>
      <c r="H211" s="2"/>
      <c r="I211" t="s">
        <v>43</v>
      </c>
      <c r="J211" t="s">
        <v>21</v>
      </c>
      <c r="K211" t="s">
        <v>18</v>
      </c>
      <c r="L211" t="str">
        <f>TEXT(table1[[#This Row],[Date]],"MMM")</f>
        <v>Apr</v>
      </c>
      <c r="M211">
        <f>MONTH(table1[[#This Row],[Date]])</f>
        <v>4</v>
      </c>
      <c r="N211" t="str">
        <f>TEXT(table1[[#This Row],[Date]],"ddd")</f>
        <v>Fri</v>
      </c>
      <c r="O211" s="2">
        <f>table1[[#This Row],[Credit]]-table1[[#This Row],[Debit]]</f>
        <v>-40</v>
      </c>
    </row>
    <row r="212" spans="5:15" x14ac:dyDescent="0.25">
      <c r="E212" s="1">
        <v>44333</v>
      </c>
      <c r="F212" t="s">
        <v>43</v>
      </c>
      <c r="G212" s="2">
        <v>40</v>
      </c>
      <c r="H212" s="2"/>
      <c r="I212" t="s">
        <v>43</v>
      </c>
      <c r="J212" t="s">
        <v>21</v>
      </c>
      <c r="K212" t="s">
        <v>18</v>
      </c>
      <c r="L212" t="str">
        <f>TEXT(table1[[#This Row],[Date]],"MMM")</f>
        <v>May</v>
      </c>
      <c r="M212">
        <f>MONTH(table1[[#This Row],[Date]])</f>
        <v>5</v>
      </c>
      <c r="N212" t="str">
        <f>TEXT(table1[[#This Row],[Date]],"ddd")</f>
        <v>Mon</v>
      </c>
      <c r="O212" s="2">
        <f>table1[[#This Row],[Credit]]-table1[[#This Row],[Debit]]</f>
        <v>-40</v>
      </c>
    </row>
    <row r="213" spans="5:15" x14ac:dyDescent="0.25">
      <c r="E213" s="1">
        <v>44364</v>
      </c>
      <c r="F213" t="s">
        <v>43</v>
      </c>
      <c r="G213" s="2">
        <v>40</v>
      </c>
      <c r="H213" s="2"/>
      <c r="I213" t="s">
        <v>43</v>
      </c>
      <c r="J213" t="s">
        <v>21</v>
      </c>
      <c r="K213" t="s">
        <v>18</v>
      </c>
      <c r="L213" t="str">
        <f>TEXT(table1[[#This Row],[Date]],"MMM")</f>
        <v>Jun</v>
      </c>
      <c r="M213">
        <f>MONTH(table1[[#This Row],[Date]])</f>
        <v>6</v>
      </c>
      <c r="N213" t="str">
        <f>TEXT(table1[[#This Row],[Date]],"ddd")</f>
        <v>Thu</v>
      </c>
      <c r="O213" s="2">
        <f>table1[[#This Row],[Credit]]-table1[[#This Row],[Debit]]</f>
        <v>-40</v>
      </c>
    </row>
    <row r="214" spans="5:15" x14ac:dyDescent="0.25">
      <c r="E214" s="1">
        <v>44395</v>
      </c>
      <c r="F214" t="s">
        <v>43</v>
      </c>
      <c r="G214" s="2">
        <v>40</v>
      </c>
      <c r="H214" s="2"/>
      <c r="I214" t="s">
        <v>43</v>
      </c>
      <c r="J214" t="s">
        <v>21</v>
      </c>
      <c r="K214" t="s">
        <v>18</v>
      </c>
      <c r="L214" t="str">
        <f>TEXT(table1[[#This Row],[Date]],"MMM")</f>
        <v>Jul</v>
      </c>
      <c r="M214">
        <f>MONTH(table1[[#This Row],[Date]])</f>
        <v>7</v>
      </c>
      <c r="N214" t="str">
        <f>TEXT(table1[[#This Row],[Date]],"ddd")</f>
        <v>Sun</v>
      </c>
      <c r="O214" s="2">
        <f>table1[[#This Row],[Credit]]-table1[[#This Row],[Debit]]</f>
        <v>-40</v>
      </c>
    </row>
    <row r="215" spans="5:15" x14ac:dyDescent="0.25">
      <c r="E215" s="1">
        <v>44426</v>
      </c>
      <c r="F215" t="s">
        <v>43</v>
      </c>
      <c r="G215" s="2">
        <v>40</v>
      </c>
      <c r="H215" s="2"/>
      <c r="I215" t="s">
        <v>43</v>
      </c>
      <c r="J215" t="s">
        <v>21</v>
      </c>
      <c r="K215" t="s">
        <v>18</v>
      </c>
      <c r="L215" t="str">
        <f>TEXT(table1[[#This Row],[Date]],"MMM")</f>
        <v>Aug</v>
      </c>
      <c r="M215">
        <f>MONTH(table1[[#This Row],[Date]])</f>
        <v>8</v>
      </c>
      <c r="N215" t="str">
        <f>TEXT(table1[[#This Row],[Date]],"ddd")</f>
        <v>Wed</v>
      </c>
      <c r="O215" s="2">
        <f>table1[[#This Row],[Credit]]-table1[[#This Row],[Debit]]</f>
        <v>-40</v>
      </c>
    </row>
    <row r="216" spans="5:15" x14ac:dyDescent="0.25">
      <c r="E216" s="1">
        <v>44457</v>
      </c>
      <c r="F216" t="s">
        <v>43</v>
      </c>
      <c r="G216" s="2">
        <v>40</v>
      </c>
      <c r="H216" s="2"/>
      <c r="I216" t="s">
        <v>43</v>
      </c>
      <c r="J216" t="s">
        <v>21</v>
      </c>
      <c r="K216" t="s">
        <v>18</v>
      </c>
      <c r="L216" t="str">
        <f>TEXT(table1[[#This Row],[Date]],"MMM")</f>
        <v>Sep</v>
      </c>
      <c r="M216">
        <f>MONTH(table1[[#This Row],[Date]])</f>
        <v>9</v>
      </c>
      <c r="N216" t="str">
        <f>TEXT(table1[[#This Row],[Date]],"ddd")</f>
        <v>Sat</v>
      </c>
      <c r="O216" s="2">
        <f>table1[[#This Row],[Credit]]-table1[[#This Row],[Debit]]</f>
        <v>-40</v>
      </c>
    </row>
    <row r="217" spans="5:15" x14ac:dyDescent="0.25">
      <c r="E217" s="1">
        <v>44488</v>
      </c>
      <c r="F217" t="s">
        <v>43</v>
      </c>
      <c r="G217" s="2">
        <v>40</v>
      </c>
      <c r="H217" s="2"/>
      <c r="I217" t="s">
        <v>43</v>
      </c>
      <c r="J217" t="s">
        <v>21</v>
      </c>
      <c r="K217" t="s">
        <v>18</v>
      </c>
      <c r="L217" t="str">
        <f>TEXT(table1[[#This Row],[Date]],"MMM")</f>
        <v>Oct</v>
      </c>
      <c r="M217">
        <f>MONTH(table1[[#This Row],[Date]])</f>
        <v>10</v>
      </c>
      <c r="N217" t="str">
        <f>TEXT(table1[[#This Row],[Date]],"ddd")</f>
        <v>Tue</v>
      </c>
      <c r="O217" s="2">
        <f>table1[[#This Row],[Credit]]-table1[[#This Row],[Debit]]</f>
        <v>-40</v>
      </c>
    </row>
    <row r="218" spans="5:15" x14ac:dyDescent="0.25">
      <c r="E218" s="1">
        <v>44275</v>
      </c>
      <c r="F218" t="s">
        <v>47</v>
      </c>
      <c r="G218" s="2">
        <v>39</v>
      </c>
      <c r="H218" s="2"/>
      <c r="I218" t="s">
        <v>36</v>
      </c>
      <c r="J218" t="s">
        <v>17</v>
      </c>
      <c r="K218" t="s">
        <v>18</v>
      </c>
      <c r="L218" t="str">
        <f>TEXT(table1[[#This Row],[Date]],"MMM")</f>
        <v>Mar</v>
      </c>
      <c r="M218">
        <f>MONTH(table1[[#This Row],[Date]])</f>
        <v>3</v>
      </c>
      <c r="N218" t="str">
        <f>TEXT(table1[[#This Row],[Date]],"ddd")</f>
        <v>Sat</v>
      </c>
      <c r="O218" s="2">
        <f>table1[[#This Row],[Credit]]-table1[[#This Row],[Debit]]</f>
        <v>-39</v>
      </c>
    </row>
    <row r="219" spans="5:15" x14ac:dyDescent="0.25">
      <c r="E219" s="1">
        <v>44247</v>
      </c>
      <c r="F219" t="s">
        <v>47</v>
      </c>
      <c r="G219" s="2">
        <v>37.9</v>
      </c>
      <c r="H219" s="2"/>
      <c r="I219" t="s">
        <v>36</v>
      </c>
      <c r="J219" t="s">
        <v>17</v>
      </c>
      <c r="K219" t="s">
        <v>18</v>
      </c>
      <c r="L219" t="str">
        <f>TEXT(table1[[#This Row],[Date]],"MMM")</f>
        <v>Feb</v>
      </c>
      <c r="M219">
        <f>MONTH(table1[[#This Row],[Date]])</f>
        <v>2</v>
      </c>
      <c r="N219" t="str">
        <f>TEXT(table1[[#This Row],[Date]],"ddd")</f>
        <v>Sat</v>
      </c>
      <c r="O219" s="2">
        <f>table1[[#This Row],[Credit]]-table1[[#This Row],[Debit]]</f>
        <v>-37.9</v>
      </c>
    </row>
    <row r="220" spans="5:15" x14ac:dyDescent="0.25">
      <c r="E220" s="1">
        <v>44486</v>
      </c>
      <c r="F220" t="s">
        <v>37</v>
      </c>
      <c r="G220" s="2">
        <v>37.200000000000003</v>
      </c>
      <c r="H220" s="2"/>
      <c r="I220" t="s">
        <v>38</v>
      </c>
      <c r="J220" t="s">
        <v>24</v>
      </c>
      <c r="K220" t="s">
        <v>18</v>
      </c>
      <c r="L220" t="str">
        <f>TEXT(table1[[#This Row],[Date]],"MMM")</f>
        <v>Oct</v>
      </c>
      <c r="M220">
        <f>MONTH(table1[[#This Row],[Date]])</f>
        <v>10</v>
      </c>
      <c r="N220" t="str">
        <f>TEXT(table1[[#This Row],[Date]],"ddd")</f>
        <v>Sun</v>
      </c>
      <c r="O220" s="2">
        <f>table1[[#This Row],[Credit]]-table1[[#This Row],[Debit]]</f>
        <v>-37.200000000000003</v>
      </c>
    </row>
    <row r="221" spans="5:15" x14ac:dyDescent="0.25">
      <c r="E221" s="1">
        <v>44219</v>
      </c>
      <c r="F221" t="s">
        <v>47</v>
      </c>
      <c r="G221" s="2">
        <v>37</v>
      </c>
      <c r="H221" s="2"/>
      <c r="I221" t="s">
        <v>36</v>
      </c>
      <c r="J221" t="s">
        <v>17</v>
      </c>
      <c r="K221" t="s">
        <v>18</v>
      </c>
      <c r="L221" t="str">
        <f>TEXT(table1[[#This Row],[Date]],"MMM")</f>
        <v>Jan</v>
      </c>
      <c r="M221">
        <f>MONTH(table1[[#This Row],[Date]])</f>
        <v>1</v>
      </c>
      <c r="N221" t="str">
        <f>TEXT(table1[[#This Row],[Date]],"ddd")</f>
        <v>Sat</v>
      </c>
      <c r="O221" s="2">
        <f>table1[[#This Row],[Credit]]-table1[[#This Row],[Debit]]</f>
        <v>-37</v>
      </c>
    </row>
    <row r="222" spans="5:15" x14ac:dyDescent="0.25">
      <c r="E222" s="1">
        <v>44455</v>
      </c>
      <c r="F222" t="s">
        <v>37</v>
      </c>
      <c r="G222" s="2">
        <v>36.200000000000003</v>
      </c>
      <c r="H222" s="2"/>
      <c r="I222" t="s">
        <v>38</v>
      </c>
      <c r="J222" t="s">
        <v>24</v>
      </c>
      <c r="K222" t="s">
        <v>18</v>
      </c>
      <c r="L222" t="str">
        <f>TEXT(table1[[#This Row],[Date]],"MMM")</f>
        <v>Sep</v>
      </c>
      <c r="M222">
        <f>MONTH(table1[[#This Row],[Date]])</f>
        <v>9</v>
      </c>
      <c r="N222" t="str">
        <f>TEXT(table1[[#This Row],[Date]],"ddd")</f>
        <v>Thu</v>
      </c>
      <c r="O222" s="2">
        <f>table1[[#This Row],[Credit]]-table1[[#This Row],[Debit]]</f>
        <v>-36.200000000000003</v>
      </c>
    </row>
    <row r="223" spans="5:15" x14ac:dyDescent="0.25">
      <c r="E223" s="1">
        <v>44424</v>
      </c>
      <c r="F223" t="s">
        <v>37</v>
      </c>
      <c r="G223" s="2">
        <v>35.1</v>
      </c>
      <c r="H223" s="2"/>
      <c r="I223" t="s">
        <v>38</v>
      </c>
      <c r="J223" t="s">
        <v>24</v>
      </c>
      <c r="K223" t="s">
        <v>18</v>
      </c>
      <c r="L223" t="str">
        <f>TEXT(table1[[#This Row],[Date]],"MMM")</f>
        <v>Aug</v>
      </c>
      <c r="M223">
        <f>MONTH(table1[[#This Row],[Date]])</f>
        <v>8</v>
      </c>
      <c r="N223" t="str">
        <f>TEXT(table1[[#This Row],[Date]],"ddd")</f>
        <v>Mon</v>
      </c>
      <c r="O223" s="2">
        <f>table1[[#This Row],[Credit]]-table1[[#This Row],[Debit]]</f>
        <v>-35.1</v>
      </c>
    </row>
    <row r="224" spans="5:15" x14ac:dyDescent="0.25">
      <c r="E224" s="1">
        <v>44244</v>
      </c>
      <c r="F224" t="s">
        <v>46</v>
      </c>
      <c r="G224" s="2">
        <v>35</v>
      </c>
      <c r="H224" s="2"/>
      <c r="I224" t="s">
        <v>31</v>
      </c>
      <c r="J224" t="s">
        <v>32</v>
      </c>
      <c r="K224" t="s">
        <v>18</v>
      </c>
      <c r="L224" t="str">
        <f>TEXT(table1[[#This Row],[Date]],"MMM")</f>
        <v>Feb</v>
      </c>
      <c r="M224">
        <f>MONTH(table1[[#This Row],[Date]])</f>
        <v>2</v>
      </c>
      <c r="N224" t="str">
        <f>TEXT(table1[[#This Row],[Date]],"ddd")</f>
        <v>Wed</v>
      </c>
      <c r="O224" s="2">
        <f>table1[[#This Row],[Credit]]-table1[[#This Row],[Debit]]</f>
        <v>-35</v>
      </c>
    </row>
    <row r="225" spans="5:15" x14ac:dyDescent="0.25">
      <c r="E225" s="1">
        <v>44272</v>
      </c>
      <c r="F225" t="s">
        <v>46</v>
      </c>
      <c r="G225" s="2">
        <v>35</v>
      </c>
      <c r="H225" s="2"/>
      <c r="I225" t="s">
        <v>31</v>
      </c>
      <c r="J225" t="s">
        <v>32</v>
      </c>
      <c r="K225" t="s">
        <v>18</v>
      </c>
      <c r="L225" t="str">
        <f>TEXT(table1[[#This Row],[Date]],"MMM")</f>
        <v>Mar</v>
      </c>
      <c r="M225">
        <f>MONTH(table1[[#This Row],[Date]])</f>
        <v>3</v>
      </c>
      <c r="N225" t="str">
        <f>TEXT(table1[[#This Row],[Date]],"ddd")</f>
        <v>Wed</v>
      </c>
      <c r="O225" s="2">
        <f>table1[[#This Row],[Credit]]-table1[[#This Row],[Debit]]</f>
        <v>-35</v>
      </c>
    </row>
    <row r="226" spans="5:15" x14ac:dyDescent="0.25">
      <c r="E226" s="1">
        <v>44303</v>
      </c>
      <c r="F226" t="s">
        <v>46</v>
      </c>
      <c r="G226" s="2">
        <v>35</v>
      </c>
      <c r="H226" s="2"/>
      <c r="I226" t="s">
        <v>31</v>
      </c>
      <c r="J226" t="s">
        <v>32</v>
      </c>
      <c r="K226" t="s">
        <v>18</v>
      </c>
      <c r="L226" t="str">
        <f>TEXT(table1[[#This Row],[Date]],"MMM")</f>
        <v>Apr</v>
      </c>
      <c r="M226">
        <f>MONTH(table1[[#This Row],[Date]])</f>
        <v>4</v>
      </c>
      <c r="N226" t="str">
        <f>TEXT(table1[[#This Row],[Date]],"ddd")</f>
        <v>Sat</v>
      </c>
      <c r="O226" s="2">
        <f>table1[[#This Row],[Credit]]-table1[[#This Row],[Debit]]</f>
        <v>-35</v>
      </c>
    </row>
    <row r="227" spans="5:15" x14ac:dyDescent="0.25">
      <c r="E227" s="1">
        <v>44334</v>
      </c>
      <c r="F227" t="s">
        <v>46</v>
      </c>
      <c r="G227" s="2">
        <v>35</v>
      </c>
      <c r="H227" s="2"/>
      <c r="I227" t="s">
        <v>31</v>
      </c>
      <c r="J227" t="s">
        <v>32</v>
      </c>
      <c r="K227" t="s">
        <v>18</v>
      </c>
      <c r="L227" t="str">
        <f>TEXT(table1[[#This Row],[Date]],"MMM")</f>
        <v>May</v>
      </c>
      <c r="M227">
        <f>MONTH(table1[[#This Row],[Date]])</f>
        <v>5</v>
      </c>
      <c r="N227" t="str">
        <f>TEXT(table1[[#This Row],[Date]],"ddd")</f>
        <v>Tue</v>
      </c>
      <c r="O227" s="2">
        <f>table1[[#This Row],[Credit]]-table1[[#This Row],[Debit]]</f>
        <v>-35</v>
      </c>
    </row>
    <row r="228" spans="5:15" x14ac:dyDescent="0.25">
      <c r="E228" s="1">
        <v>44365</v>
      </c>
      <c r="F228" t="s">
        <v>46</v>
      </c>
      <c r="G228" s="2">
        <v>35</v>
      </c>
      <c r="H228" s="2"/>
      <c r="I228" t="s">
        <v>31</v>
      </c>
      <c r="J228" t="s">
        <v>32</v>
      </c>
      <c r="K228" t="s">
        <v>18</v>
      </c>
      <c r="L228" t="str">
        <f>TEXT(table1[[#This Row],[Date]],"MMM")</f>
        <v>Jun</v>
      </c>
      <c r="M228">
        <f>MONTH(table1[[#This Row],[Date]])</f>
        <v>6</v>
      </c>
      <c r="N228" t="str">
        <f>TEXT(table1[[#This Row],[Date]],"ddd")</f>
        <v>Fri</v>
      </c>
      <c r="O228" s="2">
        <f>table1[[#This Row],[Credit]]-table1[[#This Row],[Debit]]</f>
        <v>-35</v>
      </c>
    </row>
    <row r="229" spans="5:15" x14ac:dyDescent="0.25">
      <c r="E229" s="1">
        <v>44396</v>
      </c>
      <c r="F229" t="s">
        <v>46</v>
      </c>
      <c r="G229" s="2">
        <v>35</v>
      </c>
      <c r="H229" s="2"/>
      <c r="I229" t="s">
        <v>31</v>
      </c>
      <c r="J229" t="s">
        <v>32</v>
      </c>
      <c r="K229" t="s">
        <v>18</v>
      </c>
      <c r="L229" t="str">
        <f>TEXT(table1[[#This Row],[Date]],"MMM")</f>
        <v>Jul</v>
      </c>
      <c r="M229">
        <f>MONTH(table1[[#This Row],[Date]])</f>
        <v>7</v>
      </c>
      <c r="N229" t="str">
        <f>TEXT(table1[[#This Row],[Date]],"ddd")</f>
        <v>Mon</v>
      </c>
      <c r="O229" s="2">
        <f>table1[[#This Row],[Credit]]-table1[[#This Row],[Debit]]</f>
        <v>-35</v>
      </c>
    </row>
    <row r="230" spans="5:15" x14ac:dyDescent="0.25">
      <c r="E230" s="1">
        <v>44427</v>
      </c>
      <c r="F230" t="s">
        <v>46</v>
      </c>
      <c r="G230" s="2">
        <v>35</v>
      </c>
      <c r="H230" s="2"/>
      <c r="I230" t="s">
        <v>31</v>
      </c>
      <c r="J230" t="s">
        <v>32</v>
      </c>
      <c r="K230" t="s">
        <v>18</v>
      </c>
      <c r="L230" t="str">
        <f>TEXT(table1[[#This Row],[Date]],"MMM")</f>
        <v>Aug</v>
      </c>
      <c r="M230">
        <f>MONTH(table1[[#This Row],[Date]])</f>
        <v>8</v>
      </c>
      <c r="N230" t="str">
        <f>TEXT(table1[[#This Row],[Date]],"ddd")</f>
        <v>Thu</v>
      </c>
      <c r="O230" s="2">
        <f>table1[[#This Row],[Credit]]-table1[[#This Row],[Debit]]</f>
        <v>-35</v>
      </c>
    </row>
    <row r="231" spans="5:15" x14ac:dyDescent="0.25">
      <c r="E231" s="1">
        <v>44458</v>
      </c>
      <c r="F231" t="s">
        <v>46</v>
      </c>
      <c r="G231" s="2">
        <v>35</v>
      </c>
      <c r="H231" s="2"/>
      <c r="I231" t="s">
        <v>31</v>
      </c>
      <c r="J231" t="s">
        <v>32</v>
      </c>
      <c r="K231" t="s">
        <v>18</v>
      </c>
      <c r="L231" t="str">
        <f>TEXT(table1[[#This Row],[Date]],"MMM")</f>
        <v>Sep</v>
      </c>
      <c r="M231">
        <f>MONTH(table1[[#This Row],[Date]])</f>
        <v>9</v>
      </c>
      <c r="N231" t="str">
        <f>TEXT(table1[[#This Row],[Date]],"ddd")</f>
        <v>Sun</v>
      </c>
      <c r="O231" s="2">
        <f>table1[[#This Row],[Credit]]-table1[[#This Row],[Debit]]</f>
        <v>-35</v>
      </c>
    </row>
    <row r="232" spans="5:15" x14ac:dyDescent="0.25">
      <c r="E232" s="1">
        <v>44489</v>
      </c>
      <c r="F232" t="s">
        <v>46</v>
      </c>
      <c r="G232" s="2">
        <v>35</v>
      </c>
      <c r="H232" s="2"/>
      <c r="I232" t="s">
        <v>31</v>
      </c>
      <c r="J232" t="s">
        <v>32</v>
      </c>
      <c r="K232" t="s">
        <v>18</v>
      </c>
      <c r="L232" t="str">
        <f>TEXT(table1[[#This Row],[Date]],"MMM")</f>
        <v>Oct</v>
      </c>
      <c r="M232">
        <f>MONTH(table1[[#This Row],[Date]])</f>
        <v>10</v>
      </c>
      <c r="N232" t="str">
        <f>TEXT(table1[[#This Row],[Date]],"ddd")</f>
        <v>Wed</v>
      </c>
      <c r="O232" s="2">
        <f>table1[[#This Row],[Credit]]-table1[[#This Row],[Debit]]</f>
        <v>-35</v>
      </c>
    </row>
    <row r="233" spans="5:15" x14ac:dyDescent="0.25">
      <c r="E233" s="1">
        <v>44393</v>
      </c>
      <c r="F233" t="s">
        <v>37</v>
      </c>
      <c r="G233" s="2">
        <v>34.200000000000003</v>
      </c>
      <c r="H233" s="2"/>
      <c r="I233" t="s">
        <v>38</v>
      </c>
      <c r="J233" t="s">
        <v>24</v>
      </c>
      <c r="K233" t="s">
        <v>18</v>
      </c>
      <c r="L233" t="str">
        <f>TEXT(table1[[#This Row],[Date]],"MMM")</f>
        <v>Jul</v>
      </c>
      <c r="M233">
        <f>MONTH(table1[[#This Row],[Date]])</f>
        <v>7</v>
      </c>
      <c r="N233" t="str">
        <f>TEXT(table1[[#This Row],[Date]],"ddd")</f>
        <v>Fri</v>
      </c>
      <c r="O233" s="2">
        <f>table1[[#This Row],[Credit]]-table1[[#This Row],[Debit]]</f>
        <v>-34.200000000000003</v>
      </c>
    </row>
    <row r="234" spans="5:15" x14ac:dyDescent="0.25">
      <c r="E234" s="1">
        <v>44362</v>
      </c>
      <c r="F234" t="s">
        <v>37</v>
      </c>
      <c r="G234" s="2">
        <v>33.1</v>
      </c>
      <c r="H234" s="2"/>
      <c r="I234" t="s">
        <v>38</v>
      </c>
      <c r="J234" t="s">
        <v>24</v>
      </c>
      <c r="K234" t="s">
        <v>18</v>
      </c>
      <c r="L234" t="str">
        <f>TEXT(table1[[#This Row],[Date]],"MMM")</f>
        <v>Jun</v>
      </c>
      <c r="M234">
        <f>MONTH(table1[[#This Row],[Date]])</f>
        <v>6</v>
      </c>
      <c r="N234" t="str">
        <f>TEXT(table1[[#This Row],[Date]],"ddd")</f>
        <v>Tue</v>
      </c>
      <c r="O234" s="2">
        <f>table1[[#This Row],[Credit]]-table1[[#This Row],[Debit]]</f>
        <v>-33.1</v>
      </c>
    </row>
    <row r="235" spans="5:15" x14ac:dyDescent="0.25">
      <c r="E235" s="1">
        <v>44500</v>
      </c>
      <c r="F235" t="s">
        <v>37</v>
      </c>
      <c r="G235" s="2">
        <v>32.1</v>
      </c>
      <c r="H235" s="2"/>
      <c r="I235" t="s">
        <v>38</v>
      </c>
      <c r="J235" t="s">
        <v>24</v>
      </c>
      <c r="K235" t="s">
        <v>18</v>
      </c>
      <c r="L235" t="str">
        <f>TEXT(table1[[#This Row],[Date]],"MMM")</f>
        <v>Oct</v>
      </c>
      <c r="M235">
        <f>MONTH(table1[[#This Row],[Date]])</f>
        <v>10</v>
      </c>
      <c r="N235" t="str">
        <f>TEXT(table1[[#This Row],[Date]],"ddd")</f>
        <v>Sun</v>
      </c>
      <c r="O235" s="2">
        <f>table1[[#This Row],[Credit]]-table1[[#This Row],[Debit]]</f>
        <v>-32.1</v>
      </c>
    </row>
    <row r="236" spans="5:15" x14ac:dyDescent="0.25">
      <c r="E236" s="1">
        <v>44216</v>
      </c>
      <c r="F236" t="s">
        <v>46</v>
      </c>
      <c r="G236" s="2">
        <v>32</v>
      </c>
      <c r="H236" s="2"/>
      <c r="I236" t="s">
        <v>31</v>
      </c>
      <c r="J236" t="s">
        <v>32</v>
      </c>
      <c r="K236" t="s">
        <v>18</v>
      </c>
      <c r="L236" t="str">
        <f>TEXT(table1[[#This Row],[Date]],"MMM")</f>
        <v>Jan</v>
      </c>
      <c r="M236">
        <f>MONTH(table1[[#This Row],[Date]])</f>
        <v>1</v>
      </c>
      <c r="N236" t="str">
        <f>TEXT(table1[[#This Row],[Date]],"ddd")</f>
        <v>Wed</v>
      </c>
      <c r="O236" s="2">
        <f>table1[[#This Row],[Credit]]-table1[[#This Row],[Debit]]</f>
        <v>-32</v>
      </c>
    </row>
    <row r="237" spans="5:15" x14ac:dyDescent="0.25">
      <c r="E237" s="1">
        <v>44331</v>
      </c>
      <c r="F237" t="s">
        <v>37</v>
      </c>
      <c r="G237" s="2">
        <v>32</v>
      </c>
      <c r="H237" s="2"/>
      <c r="I237" t="s">
        <v>38</v>
      </c>
      <c r="J237" t="s">
        <v>24</v>
      </c>
      <c r="K237" t="s">
        <v>18</v>
      </c>
      <c r="L237" t="str">
        <f>TEXT(table1[[#This Row],[Date]],"MMM")</f>
        <v>May</v>
      </c>
      <c r="M237">
        <f>MONTH(table1[[#This Row],[Date]])</f>
        <v>5</v>
      </c>
      <c r="N237" t="str">
        <f>TEXT(table1[[#This Row],[Date]],"ddd")</f>
        <v>Sat</v>
      </c>
      <c r="O237" s="2">
        <f>table1[[#This Row],[Credit]]-table1[[#This Row],[Debit]]</f>
        <v>-32</v>
      </c>
    </row>
    <row r="238" spans="5:15" x14ac:dyDescent="0.25">
      <c r="E238" s="1">
        <v>44469</v>
      </c>
      <c r="F238" t="s">
        <v>37</v>
      </c>
      <c r="G238" s="2">
        <v>31.200000000000003</v>
      </c>
      <c r="H238" s="2"/>
      <c r="I238" t="s">
        <v>38</v>
      </c>
      <c r="J238" t="s">
        <v>24</v>
      </c>
      <c r="K238" t="s">
        <v>18</v>
      </c>
      <c r="L238" t="str">
        <f>TEXT(table1[[#This Row],[Date]],"MMM")</f>
        <v>Sep</v>
      </c>
      <c r="M238">
        <f>MONTH(table1[[#This Row],[Date]])</f>
        <v>9</v>
      </c>
      <c r="N238" t="str">
        <f>TEXT(table1[[#This Row],[Date]],"ddd")</f>
        <v>Thu</v>
      </c>
      <c r="O238" s="2">
        <f>table1[[#This Row],[Credit]]-table1[[#This Row],[Debit]]</f>
        <v>-31.200000000000003</v>
      </c>
    </row>
    <row r="239" spans="5:15" x14ac:dyDescent="0.25">
      <c r="E239" s="1">
        <v>44300</v>
      </c>
      <c r="F239" t="s">
        <v>37</v>
      </c>
      <c r="G239" s="2">
        <v>31</v>
      </c>
      <c r="H239" s="2"/>
      <c r="I239" t="s">
        <v>38</v>
      </c>
      <c r="J239" t="s">
        <v>24</v>
      </c>
      <c r="K239" t="s">
        <v>18</v>
      </c>
      <c r="L239" t="str">
        <f>TEXT(table1[[#This Row],[Date]],"MMM")</f>
        <v>Apr</v>
      </c>
      <c r="M239">
        <f>MONTH(table1[[#This Row],[Date]])</f>
        <v>4</v>
      </c>
      <c r="N239" t="str">
        <f>TEXT(table1[[#This Row],[Date]],"ddd")</f>
        <v>Wed</v>
      </c>
      <c r="O239" s="2">
        <f>table1[[#This Row],[Credit]]-table1[[#This Row],[Debit]]</f>
        <v>-31</v>
      </c>
    </row>
    <row r="240" spans="5:15" x14ac:dyDescent="0.25">
      <c r="E240" s="1">
        <v>44438</v>
      </c>
      <c r="F240" t="s">
        <v>37</v>
      </c>
      <c r="G240" s="2">
        <v>30.300000000000004</v>
      </c>
      <c r="H240" s="2"/>
      <c r="I240" t="s">
        <v>38</v>
      </c>
      <c r="J240" t="s">
        <v>24</v>
      </c>
      <c r="K240" t="s">
        <v>18</v>
      </c>
      <c r="L240" t="str">
        <f>TEXT(table1[[#This Row],[Date]],"MMM")</f>
        <v>Aug</v>
      </c>
      <c r="M240">
        <f>MONTH(table1[[#This Row],[Date]])</f>
        <v>8</v>
      </c>
      <c r="N240" t="str">
        <f>TEXT(table1[[#This Row],[Date]],"ddd")</f>
        <v>Mon</v>
      </c>
      <c r="O240" s="2">
        <f>table1[[#This Row],[Credit]]-table1[[#This Row],[Debit]]</f>
        <v>-30.300000000000004</v>
      </c>
    </row>
    <row r="241" spans="5:15" x14ac:dyDescent="0.25">
      <c r="E241" s="1">
        <v>44269</v>
      </c>
      <c r="F241" t="s">
        <v>37</v>
      </c>
      <c r="G241" s="2">
        <v>30</v>
      </c>
      <c r="H241" s="2"/>
      <c r="I241" t="s">
        <v>38</v>
      </c>
      <c r="J241" t="s">
        <v>24</v>
      </c>
      <c r="K241" t="s">
        <v>18</v>
      </c>
      <c r="L241" t="str">
        <f>TEXT(table1[[#This Row],[Date]],"MMM")</f>
        <v>Mar</v>
      </c>
      <c r="M241">
        <f>MONTH(table1[[#This Row],[Date]])</f>
        <v>3</v>
      </c>
      <c r="N241" t="str">
        <f>TEXT(table1[[#This Row],[Date]],"ddd")</f>
        <v>Sun</v>
      </c>
      <c r="O241" s="2">
        <f>table1[[#This Row],[Credit]]-table1[[#This Row],[Debit]]</f>
        <v>-30</v>
      </c>
    </row>
    <row r="242" spans="5:15" x14ac:dyDescent="0.25">
      <c r="E242" s="1">
        <v>44407</v>
      </c>
      <c r="F242" t="s">
        <v>37</v>
      </c>
      <c r="G242" s="2">
        <v>29.300000000000004</v>
      </c>
      <c r="H242" s="2"/>
      <c r="I242" t="s">
        <v>38</v>
      </c>
      <c r="J242" t="s">
        <v>24</v>
      </c>
      <c r="K242" t="s">
        <v>18</v>
      </c>
      <c r="L242" t="str">
        <f>TEXT(table1[[#This Row],[Date]],"MMM")</f>
        <v>Jul</v>
      </c>
      <c r="M242">
        <f>MONTH(table1[[#This Row],[Date]])</f>
        <v>7</v>
      </c>
      <c r="N242" t="str">
        <f>TEXT(table1[[#This Row],[Date]],"ddd")</f>
        <v>Fri</v>
      </c>
      <c r="O242" s="2">
        <f>table1[[#This Row],[Credit]]-table1[[#This Row],[Debit]]</f>
        <v>-29.300000000000004</v>
      </c>
    </row>
    <row r="243" spans="5:15" x14ac:dyDescent="0.25">
      <c r="E243" s="1">
        <v>44241</v>
      </c>
      <c r="F243" t="s">
        <v>37</v>
      </c>
      <c r="G243" s="2">
        <v>28.9</v>
      </c>
      <c r="H243" s="2"/>
      <c r="I243" t="s">
        <v>38</v>
      </c>
      <c r="J243" t="s">
        <v>24</v>
      </c>
      <c r="K243" t="s">
        <v>18</v>
      </c>
      <c r="L243" t="str">
        <f>TEXT(table1[[#This Row],[Date]],"MMM")</f>
        <v>Feb</v>
      </c>
      <c r="M243">
        <f>MONTH(table1[[#This Row],[Date]])</f>
        <v>2</v>
      </c>
      <c r="N243" t="str">
        <f>TEXT(table1[[#This Row],[Date]],"ddd")</f>
        <v>Sun</v>
      </c>
      <c r="O243" s="2">
        <f>table1[[#This Row],[Credit]]-table1[[#This Row],[Debit]]</f>
        <v>-28.9</v>
      </c>
    </row>
    <row r="244" spans="5:15" x14ac:dyDescent="0.25">
      <c r="E244" s="1">
        <v>44376</v>
      </c>
      <c r="F244" t="s">
        <v>37</v>
      </c>
      <c r="G244" s="2">
        <v>28.200000000000003</v>
      </c>
      <c r="H244" s="2"/>
      <c r="I244" t="s">
        <v>38</v>
      </c>
      <c r="J244" t="s">
        <v>24</v>
      </c>
      <c r="K244" t="s">
        <v>18</v>
      </c>
      <c r="L244" t="str">
        <f>TEXT(table1[[#This Row],[Date]],"MMM")</f>
        <v>Jun</v>
      </c>
      <c r="M244">
        <f>MONTH(table1[[#This Row],[Date]])</f>
        <v>6</v>
      </c>
      <c r="N244" t="str">
        <f>TEXT(table1[[#This Row],[Date]],"ddd")</f>
        <v>Tue</v>
      </c>
      <c r="O244" s="2">
        <f>table1[[#This Row],[Credit]]-table1[[#This Row],[Debit]]</f>
        <v>-28.200000000000003</v>
      </c>
    </row>
    <row r="245" spans="5:15" x14ac:dyDescent="0.25">
      <c r="E245" s="1">
        <v>44213</v>
      </c>
      <c r="F245" t="s">
        <v>37</v>
      </c>
      <c r="G245" s="2">
        <v>28</v>
      </c>
      <c r="H245" s="2"/>
      <c r="I245" t="s">
        <v>38</v>
      </c>
      <c r="J245" t="s">
        <v>24</v>
      </c>
      <c r="K245" t="s">
        <v>18</v>
      </c>
      <c r="L245" t="str">
        <f>TEXT(table1[[#This Row],[Date]],"MMM")</f>
        <v>Jan</v>
      </c>
      <c r="M245">
        <f>MONTH(table1[[#This Row],[Date]])</f>
        <v>1</v>
      </c>
      <c r="N245" t="str">
        <f>TEXT(table1[[#This Row],[Date]],"ddd")</f>
        <v>Sun</v>
      </c>
      <c r="O245" s="2">
        <f>table1[[#This Row],[Credit]]-table1[[#This Row],[Debit]]</f>
        <v>-28</v>
      </c>
    </row>
    <row r="246" spans="5:15" x14ac:dyDescent="0.25">
      <c r="E246" s="1">
        <v>44345</v>
      </c>
      <c r="F246" t="s">
        <v>37</v>
      </c>
      <c r="G246" s="2">
        <v>27.200000000000003</v>
      </c>
      <c r="H246" s="2"/>
      <c r="I246" t="s">
        <v>38</v>
      </c>
      <c r="J246" t="s">
        <v>24</v>
      </c>
      <c r="K246" t="s">
        <v>18</v>
      </c>
      <c r="L246" t="str">
        <f>TEXT(table1[[#This Row],[Date]],"MMM")</f>
        <v>May</v>
      </c>
      <c r="M246">
        <f>MONTH(table1[[#This Row],[Date]])</f>
        <v>5</v>
      </c>
      <c r="N246" t="str">
        <f>TEXT(table1[[#This Row],[Date]],"ddd")</f>
        <v>Sat</v>
      </c>
      <c r="O246" s="2">
        <f>table1[[#This Row],[Credit]]-table1[[#This Row],[Debit]]</f>
        <v>-27.200000000000003</v>
      </c>
    </row>
    <row r="247" spans="5:15" x14ac:dyDescent="0.25">
      <c r="E247" s="1">
        <v>44314</v>
      </c>
      <c r="F247" t="s">
        <v>37</v>
      </c>
      <c r="G247" s="2">
        <v>26.1</v>
      </c>
      <c r="H247" s="2"/>
      <c r="I247" t="s">
        <v>38</v>
      </c>
      <c r="J247" t="s">
        <v>24</v>
      </c>
      <c r="K247" t="s">
        <v>18</v>
      </c>
      <c r="L247" t="str">
        <f>TEXT(table1[[#This Row],[Date]],"MMM")</f>
        <v>Apr</v>
      </c>
      <c r="M247">
        <f>MONTH(table1[[#This Row],[Date]])</f>
        <v>4</v>
      </c>
      <c r="N247" t="str">
        <f>TEXT(table1[[#This Row],[Date]],"ddd")</f>
        <v>Wed</v>
      </c>
      <c r="O247" s="2">
        <f>table1[[#This Row],[Credit]]-table1[[#This Row],[Debit]]</f>
        <v>-26.1</v>
      </c>
    </row>
    <row r="248" spans="5:15" x14ac:dyDescent="0.25">
      <c r="E248" s="1">
        <v>44283</v>
      </c>
      <c r="F248" t="s">
        <v>37</v>
      </c>
      <c r="G248" s="2">
        <v>25</v>
      </c>
      <c r="H248" s="2"/>
      <c r="I248" t="s">
        <v>38</v>
      </c>
      <c r="J248" t="s">
        <v>24</v>
      </c>
      <c r="K248" t="s">
        <v>18</v>
      </c>
      <c r="L248" t="str">
        <f>TEXT(table1[[#This Row],[Date]],"MMM")</f>
        <v>Mar</v>
      </c>
      <c r="M248">
        <f>MONTH(table1[[#This Row],[Date]])</f>
        <v>3</v>
      </c>
      <c r="N248" t="str">
        <f>TEXT(table1[[#This Row],[Date]],"ddd")</f>
        <v>Sun</v>
      </c>
      <c r="O248" s="2">
        <f>table1[[#This Row],[Credit]]-table1[[#This Row],[Debit]]</f>
        <v>-25</v>
      </c>
    </row>
    <row r="249" spans="5:15" x14ac:dyDescent="0.25">
      <c r="E249" s="1">
        <v>44255</v>
      </c>
      <c r="F249" t="s">
        <v>37</v>
      </c>
      <c r="G249" s="2">
        <v>24.1</v>
      </c>
      <c r="H249" s="2"/>
      <c r="I249" t="s">
        <v>38</v>
      </c>
      <c r="J249" t="s">
        <v>24</v>
      </c>
      <c r="K249" t="s">
        <v>18</v>
      </c>
      <c r="L249" t="str">
        <f>TEXT(table1[[#This Row],[Date]],"MMM")</f>
        <v>Feb</v>
      </c>
      <c r="M249">
        <f>MONTH(table1[[#This Row],[Date]])</f>
        <v>2</v>
      </c>
      <c r="N249" t="str">
        <f>TEXT(table1[[#This Row],[Date]],"ddd")</f>
        <v>Sun</v>
      </c>
      <c r="O249" s="2">
        <f>table1[[#This Row],[Credit]]-table1[[#This Row],[Debit]]</f>
        <v>-24.1</v>
      </c>
    </row>
    <row r="250" spans="5:15" x14ac:dyDescent="0.25">
      <c r="E250" s="1">
        <v>44227</v>
      </c>
      <c r="F250" t="s">
        <v>37</v>
      </c>
      <c r="G250" s="2">
        <v>23</v>
      </c>
      <c r="H250" s="2"/>
      <c r="I250" t="s">
        <v>38</v>
      </c>
      <c r="J250" t="s">
        <v>24</v>
      </c>
      <c r="K250" t="s">
        <v>18</v>
      </c>
      <c r="L250" t="str">
        <f>TEXT(table1[[#This Row],[Date]],"MMM")</f>
        <v>Jan</v>
      </c>
      <c r="M250">
        <f>MONTH(table1[[#This Row],[Date]])</f>
        <v>1</v>
      </c>
      <c r="N250" t="str">
        <f>TEXT(table1[[#This Row],[Date]],"ddd")</f>
        <v>Sun</v>
      </c>
      <c r="O250" s="2">
        <f>table1[[#This Row],[Credit]]-table1[[#This Row],[Debit]]</f>
        <v>-23</v>
      </c>
    </row>
    <row r="251" spans="5:15" x14ac:dyDescent="0.25">
      <c r="E251" s="1">
        <v>44493</v>
      </c>
      <c r="F251" t="s">
        <v>48</v>
      </c>
      <c r="G251" s="2">
        <v>21.099999999999998</v>
      </c>
      <c r="H251" s="2"/>
      <c r="I251" t="s">
        <v>36</v>
      </c>
      <c r="J251" t="s">
        <v>17</v>
      </c>
      <c r="K251" t="s">
        <v>18</v>
      </c>
      <c r="L251" t="str">
        <f>TEXT(table1[[#This Row],[Date]],"MMM")</f>
        <v>Oct</v>
      </c>
      <c r="M251">
        <f>MONTH(table1[[#This Row],[Date]])</f>
        <v>10</v>
      </c>
      <c r="N251" t="str">
        <f>TEXT(table1[[#This Row],[Date]],"ddd")</f>
        <v>Sun</v>
      </c>
      <c r="O251" s="2">
        <f>table1[[#This Row],[Credit]]-table1[[#This Row],[Debit]]</f>
        <v>-21.099999999999998</v>
      </c>
    </row>
    <row r="252" spans="5:15" x14ac:dyDescent="0.25">
      <c r="E252" s="1">
        <v>44462</v>
      </c>
      <c r="F252" t="s">
        <v>48</v>
      </c>
      <c r="G252" s="2">
        <v>20.099999999999998</v>
      </c>
      <c r="H252" s="2"/>
      <c r="I252" t="s">
        <v>36</v>
      </c>
      <c r="J252" t="s">
        <v>17</v>
      </c>
      <c r="K252" t="s">
        <v>18</v>
      </c>
      <c r="L252" t="str">
        <f>TEXT(table1[[#This Row],[Date]],"MMM")</f>
        <v>Sep</v>
      </c>
      <c r="M252">
        <f>MONTH(table1[[#This Row],[Date]])</f>
        <v>9</v>
      </c>
      <c r="N252" t="str">
        <f>TEXT(table1[[#This Row],[Date]],"ddd")</f>
        <v>Thu</v>
      </c>
      <c r="O252" s="2">
        <f>table1[[#This Row],[Credit]]-table1[[#This Row],[Debit]]</f>
        <v>-20.099999999999998</v>
      </c>
    </row>
    <row r="253" spans="5:15" x14ac:dyDescent="0.25">
      <c r="E253" s="1">
        <v>44431</v>
      </c>
      <c r="F253" t="s">
        <v>48</v>
      </c>
      <c r="G253" s="2">
        <v>19.2</v>
      </c>
      <c r="H253" s="2"/>
      <c r="I253" t="s">
        <v>36</v>
      </c>
      <c r="J253" t="s">
        <v>17</v>
      </c>
      <c r="K253" t="s">
        <v>18</v>
      </c>
      <c r="L253" t="str">
        <f>TEXT(table1[[#This Row],[Date]],"MMM")</f>
        <v>Aug</v>
      </c>
      <c r="M253">
        <f>MONTH(table1[[#This Row],[Date]])</f>
        <v>8</v>
      </c>
      <c r="N253" t="str">
        <f>TEXT(table1[[#This Row],[Date]],"ddd")</f>
        <v>Mon</v>
      </c>
      <c r="O253" s="2">
        <f>table1[[#This Row],[Credit]]-table1[[#This Row],[Debit]]</f>
        <v>-19.2</v>
      </c>
    </row>
    <row r="254" spans="5:15" x14ac:dyDescent="0.25">
      <c r="E254" s="1">
        <v>44400</v>
      </c>
      <c r="F254" t="s">
        <v>48</v>
      </c>
      <c r="G254" s="2">
        <v>18.2</v>
      </c>
      <c r="H254" s="2"/>
      <c r="I254" t="s">
        <v>36</v>
      </c>
      <c r="J254" t="s">
        <v>17</v>
      </c>
      <c r="K254" t="s">
        <v>18</v>
      </c>
      <c r="L254" t="str">
        <f>TEXT(table1[[#This Row],[Date]],"MMM")</f>
        <v>Jul</v>
      </c>
      <c r="M254">
        <f>MONTH(table1[[#This Row],[Date]])</f>
        <v>7</v>
      </c>
      <c r="N254" t="str">
        <f>TEXT(table1[[#This Row],[Date]],"ddd")</f>
        <v>Fri</v>
      </c>
      <c r="O254" s="2">
        <f>table1[[#This Row],[Credit]]-table1[[#This Row],[Debit]]</f>
        <v>-18.2</v>
      </c>
    </row>
    <row r="255" spans="5:15" x14ac:dyDescent="0.25">
      <c r="E255" s="1">
        <v>44369</v>
      </c>
      <c r="F255" t="s">
        <v>48</v>
      </c>
      <c r="G255" s="2">
        <v>17.099999999999998</v>
      </c>
      <c r="H255" s="2"/>
      <c r="I255" t="s">
        <v>36</v>
      </c>
      <c r="J255" t="s">
        <v>17</v>
      </c>
      <c r="K255" t="s">
        <v>18</v>
      </c>
      <c r="L255" t="str">
        <f>TEXT(table1[[#This Row],[Date]],"MMM")</f>
        <v>Jun</v>
      </c>
      <c r="M255">
        <f>MONTH(table1[[#This Row],[Date]])</f>
        <v>6</v>
      </c>
      <c r="N255" t="str">
        <f>TEXT(table1[[#This Row],[Date]],"ddd")</f>
        <v>Tue</v>
      </c>
      <c r="O255" s="2">
        <f>table1[[#This Row],[Credit]]-table1[[#This Row],[Debit]]</f>
        <v>-17.099999999999998</v>
      </c>
    </row>
    <row r="256" spans="5:15" x14ac:dyDescent="0.25">
      <c r="E256" s="1">
        <v>44338</v>
      </c>
      <c r="F256" t="s">
        <v>48</v>
      </c>
      <c r="G256" s="2">
        <v>16.2</v>
      </c>
      <c r="H256" s="2"/>
      <c r="I256" t="s">
        <v>36</v>
      </c>
      <c r="J256" t="s">
        <v>17</v>
      </c>
      <c r="K256" t="s">
        <v>18</v>
      </c>
      <c r="L256" t="str">
        <f>TEXT(table1[[#This Row],[Date]],"MMM")</f>
        <v>May</v>
      </c>
      <c r="M256">
        <f>MONTH(table1[[#This Row],[Date]])</f>
        <v>5</v>
      </c>
      <c r="N256" t="str">
        <f>TEXT(table1[[#This Row],[Date]],"ddd")</f>
        <v>Sat</v>
      </c>
      <c r="O256" s="2">
        <f>table1[[#This Row],[Credit]]-table1[[#This Row],[Debit]]</f>
        <v>-16.2</v>
      </c>
    </row>
    <row r="257" spans="5:15" x14ac:dyDescent="0.25">
      <c r="E257" s="1">
        <v>44307</v>
      </c>
      <c r="F257" t="s">
        <v>48</v>
      </c>
      <c r="G257" s="2">
        <v>15.1</v>
      </c>
      <c r="H257" s="2"/>
      <c r="I257" t="s">
        <v>36</v>
      </c>
      <c r="J257" t="s">
        <v>17</v>
      </c>
      <c r="K257" t="s">
        <v>18</v>
      </c>
      <c r="L257" t="str">
        <f>TEXT(table1[[#This Row],[Date]],"MMM")</f>
        <v>Apr</v>
      </c>
      <c r="M257">
        <f>MONTH(table1[[#This Row],[Date]])</f>
        <v>4</v>
      </c>
      <c r="N257" t="str">
        <f>TEXT(table1[[#This Row],[Date]],"ddd")</f>
        <v>Wed</v>
      </c>
      <c r="O257" s="2">
        <f>table1[[#This Row],[Credit]]-table1[[#This Row],[Debit]]</f>
        <v>-15.1</v>
      </c>
    </row>
    <row r="258" spans="5:15" x14ac:dyDescent="0.25">
      <c r="E258" s="1">
        <v>44284</v>
      </c>
      <c r="F258" t="s">
        <v>60</v>
      </c>
      <c r="G258" s="2">
        <v>15</v>
      </c>
      <c r="H258" s="2"/>
      <c r="I258" t="s">
        <v>36</v>
      </c>
      <c r="J258" t="s">
        <v>17</v>
      </c>
      <c r="K258" t="s">
        <v>18</v>
      </c>
      <c r="L258" t="str">
        <f>TEXT(table1[[#This Row],[Date]],"MMM")</f>
        <v>Mar</v>
      </c>
      <c r="M258">
        <f>MONTH(table1[[#This Row],[Date]])</f>
        <v>3</v>
      </c>
      <c r="N258" t="str">
        <f>TEXT(table1[[#This Row],[Date]],"ddd")</f>
        <v>Mon</v>
      </c>
      <c r="O258" s="2">
        <f>table1[[#This Row],[Credit]]-table1[[#This Row],[Debit]]</f>
        <v>-15</v>
      </c>
    </row>
    <row r="259" spans="5:15" x14ac:dyDescent="0.25">
      <c r="E259" s="1">
        <v>44315</v>
      </c>
      <c r="F259" t="s">
        <v>60</v>
      </c>
      <c r="G259" s="2">
        <v>15</v>
      </c>
      <c r="H259" s="2"/>
      <c r="I259" t="s">
        <v>36</v>
      </c>
      <c r="J259" t="s">
        <v>17</v>
      </c>
      <c r="K259" t="s">
        <v>18</v>
      </c>
      <c r="L259" t="str">
        <f>TEXT(table1[[#This Row],[Date]],"MMM")</f>
        <v>Apr</v>
      </c>
      <c r="M259">
        <f>MONTH(table1[[#This Row],[Date]])</f>
        <v>4</v>
      </c>
      <c r="N259" t="str">
        <f>TEXT(table1[[#This Row],[Date]],"ddd")</f>
        <v>Thu</v>
      </c>
      <c r="O259" s="2">
        <f>table1[[#This Row],[Credit]]-table1[[#This Row],[Debit]]</f>
        <v>-15</v>
      </c>
    </row>
    <row r="260" spans="5:15" x14ac:dyDescent="0.25">
      <c r="E260" s="1">
        <v>44347</v>
      </c>
      <c r="F260" t="s">
        <v>60</v>
      </c>
      <c r="G260" s="2">
        <v>15</v>
      </c>
      <c r="H260" s="2"/>
      <c r="I260" t="s">
        <v>36</v>
      </c>
      <c r="J260" t="s">
        <v>17</v>
      </c>
      <c r="K260" t="s">
        <v>18</v>
      </c>
      <c r="L260" t="str">
        <f>TEXT(table1[[#This Row],[Date]],"MMM")</f>
        <v>May</v>
      </c>
      <c r="M260">
        <f>MONTH(table1[[#This Row],[Date]])</f>
        <v>5</v>
      </c>
      <c r="N260" t="str">
        <f>TEXT(table1[[#This Row],[Date]],"ddd")</f>
        <v>Mon</v>
      </c>
      <c r="O260" s="2">
        <f>table1[[#This Row],[Credit]]-table1[[#This Row],[Debit]]</f>
        <v>-15</v>
      </c>
    </row>
    <row r="261" spans="5:15" x14ac:dyDescent="0.25">
      <c r="E261" s="1">
        <v>44376</v>
      </c>
      <c r="F261" t="s">
        <v>60</v>
      </c>
      <c r="G261" s="2">
        <v>15</v>
      </c>
      <c r="H261" s="2"/>
      <c r="I261" t="s">
        <v>36</v>
      </c>
      <c r="J261" t="s">
        <v>17</v>
      </c>
      <c r="K261" t="s">
        <v>18</v>
      </c>
      <c r="L261" t="str">
        <f>TEXT(table1[[#This Row],[Date]],"MMM")</f>
        <v>Jun</v>
      </c>
      <c r="M261">
        <f>MONTH(table1[[#This Row],[Date]])</f>
        <v>6</v>
      </c>
      <c r="N261" t="str">
        <f>TEXT(table1[[#This Row],[Date]],"ddd")</f>
        <v>Tue</v>
      </c>
      <c r="O261" s="2">
        <f>table1[[#This Row],[Credit]]-table1[[#This Row],[Debit]]</f>
        <v>-15</v>
      </c>
    </row>
    <row r="262" spans="5:15" x14ac:dyDescent="0.25">
      <c r="E262" s="1">
        <v>44382</v>
      </c>
      <c r="F262" t="s">
        <v>64</v>
      </c>
      <c r="G262" s="2">
        <v>15</v>
      </c>
      <c r="H262" s="2"/>
      <c r="I262" t="s">
        <v>36</v>
      </c>
      <c r="J262" t="s">
        <v>17</v>
      </c>
      <c r="K262" t="s">
        <v>18</v>
      </c>
      <c r="L262" t="str">
        <f>TEXT(table1[[#This Row],[Date]],"MMM")</f>
        <v>Jul</v>
      </c>
      <c r="M262">
        <f>MONTH(table1[[#This Row],[Date]])</f>
        <v>7</v>
      </c>
      <c r="N262" t="str">
        <f>TEXT(table1[[#This Row],[Date]],"ddd")</f>
        <v>Mon</v>
      </c>
      <c r="O262" s="2">
        <f>table1[[#This Row],[Credit]]-table1[[#This Row],[Debit]]</f>
        <v>-15</v>
      </c>
    </row>
    <row r="263" spans="5:15" x14ac:dyDescent="0.25">
      <c r="E263" s="1">
        <v>44407</v>
      </c>
      <c r="F263" t="s">
        <v>60</v>
      </c>
      <c r="G263" s="2">
        <v>15</v>
      </c>
      <c r="H263" s="2"/>
      <c r="I263" t="s">
        <v>36</v>
      </c>
      <c r="J263" t="s">
        <v>17</v>
      </c>
      <c r="K263" t="s">
        <v>18</v>
      </c>
      <c r="L263" t="str">
        <f>TEXT(table1[[#This Row],[Date]],"MMM")</f>
        <v>Jul</v>
      </c>
      <c r="M263">
        <f>MONTH(table1[[#This Row],[Date]])</f>
        <v>7</v>
      </c>
      <c r="N263" t="str">
        <f>TEXT(table1[[#This Row],[Date]],"ddd")</f>
        <v>Fri</v>
      </c>
      <c r="O263" s="2">
        <f>table1[[#This Row],[Credit]]-table1[[#This Row],[Debit]]</f>
        <v>-15</v>
      </c>
    </row>
    <row r="264" spans="5:15" x14ac:dyDescent="0.25">
      <c r="E264" s="1">
        <v>44438</v>
      </c>
      <c r="F264" t="s">
        <v>60</v>
      </c>
      <c r="G264" s="2">
        <v>15</v>
      </c>
      <c r="H264" s="2"/>
      <c r="I264" t="s">
        <v>36</v>
      </c>
      <c r="J264" t="s">
        <v>17</v>
      </c>
      <c r="K264" t="s">
        <v>18</v>
      </c>
      <c r="L264" t="str">
        <f>TEXT(table1[[#This Row],[Date]],"MMM")</f>
        <v>Aug</v>
      </c>
      <c r="M264">
        <f>MONTH(table1[[#This Row],[Date]])</f>
        <v>8</v>
      </c>
      <c r="N264" t="str">
        <f>TEXT(table1[[#This Row],[Date]],"ddd")</f>
        <v>Mon</v>
      </c>
      <c r="O264" s="2">
        <f>table1[[#This Row],[Credit]]-table1[[#This Row],[Debit]]</f>
        <v>-15</v>
      </c>
    </row>
    <row r="265" spans="5:15" x14ac:dyDescent="0.25">
      <c r="E265" s="1">
        <v>44469</v>
      </c>
      <c r="F265" t="s">
        <v>60</v>
      </c>
      <c r="G265" s="2">
        <v>15</v>
      </c>
      <c r="H265" s="2"/>
      <c r="I265" t="s">
        <v>36</v>
      </c>
      <c r="J265" t="s">
        <v>17</v>
      </c>
      <c r="K265" t="s">
        <v>18</v>
      </c>
      <c r="L265" t="str">
        <f>TEXT(table1[[#This Row],[Date]],"MMM")</f>
        <v>Sep</v>
      </c>
      <c r="M265">
        <f>MONTH(table1[[#This Row],[Date]])</f>
        <v>9</v>
      </c>
      <c r="N265" t="str">
        <f>TEXT(table1[[#This Row],[Date]],"ddd")</f>
        <v>Thu</v>
      </c>
      <c r="O265" s="2">
        <f>table1[[#This Row],[Credit]]-table1[[#This Row],[Debit]]</f>
        <v>-15</v>
      </c>
    </row>
    <row r="266" spans="5:15" x14ac:dyDescent="0.25">
      <c r="E266" s="1">
        <v>44500</v>
      </c>
      <c r="F266" t="s">
        <v>60</v>
      </c>
      <c r="G266" s="2">
        <v>15</v>
      </c>
      <c r="H266" s="2"/>
      <c r="I266" t="s">
        <v>36</v>
      </c>
      <c r="J266" t="s">
        <v>17</v>
      </c>
      <c r="K266" t="s">
        <v>18</v>
      </c>
      <c r="L266" t="str">
        <f>TEXT(table1[[#This Row],[Date]],"MMM")</f>
        <v>Oct</v>
      </c>
      <c r="M266">
        <f>MONTH(table1[[#This Row],[Date]])</f>
        <v>10</v>
      </c>
      <c r="N266" t="str">
        <f>TEXT(table1[[#This Row],[Date]],"ddd")</f>
        <v>Sun</v>
      </c>
      <c r="O266" s="2">
        <f>table1[[#This Row],[Credit]]-table1[[#This Row],[Debit]]</f>
        <v>-15</v>
      </c>
    </row>
    <row r="267" spans="5:15" x14ac:dyDescent="0.25">
      <c r="E267" s="1">
        <v>44276</v>
      </c>
      <c r="F267" t="s">
        <v>48</v>
      </c>
      <c r="G267" s="2">
        <v>14</v>
      </c>
      <c r="H267" s="2"/>
      <c r="I267" t="s">
        <v>36</v>
      </c>
      <c r="J267" t="s">
        <v>17</v>
      </c>
      <c r="K267" t="s">
        <v>18</v>
      </c>
      <c r="L267" t="str">
        <f>TEXT(table1[[#This Row],[Date]],"MMM")</f>
        <v>Mar</v>
      </c>
      <c r="M267">
        <f>MONTH(table1[[#This Row],[Date]])</f>
        <v>3</v>
      </c>
      <c r="N267" t="str">
        <f>TEXT(table1[[#This Row],[Date]],"ddd")</f>
        <v>Sun</v>
      </c>
      <c r="O267" s="2">
        <f>table1[[#This Row],[Credit]]-table1[[#This Row],[Debit]]</f>
        <v>-14</v>
      </c>
    </row>
    <row r="268" spans="5:15" x14ac:dyDescent="0.25">
      <c r="E268" s="1">
        <v>44248</v>
      </c>
      <c r="F268" t="s">
        <v>48</v>
      </c>
      <c r="G268" s="2">
        <v>12.9</v>
      </c>
      <c r="H268" s="2"/>
      <c r="I268" t="s">
        <v>36</v>
      </c>
      <c r="J268" t="s">
        <v>17</v>
      </c>
      <c r="K268" t="s">
        <v>18</v>
      </c>
      <c r="L268" t="str">
        <f>TEXT(table1[[#This Row],[Date]],"MMM")</f>
        <v>Feb</v>
      </c>
      <c r="M268">
        <f>MONTH(table1[[#This Row],[Date]])</f>
        <v>2</v>
      </c>
      <c r="N268" t="str">
        <f>TEXT(table1[[#This Row],[Date]],"ddd")</f>
        <v>Sun</v>
      </c>
      <c r="O268" s="2">
        <f>table1[[#This Row],[Credit]]-table1[[#This Row],[Debit]]</f>
        <v>-12.9</v>
      </c>
    </row>
    <row r="269" spans="5:15" x14ac:dyDescent="0.25">
      <c r="E269" s="1">
        <v>44220</v>
      </c>
      <c r="F269" t="s">
        <v>48</v>
      </c>
      <c r="G269" s="2">
        <v>12</v>
      </c>
      <c r="H269" s="2"/>
      <c r="I269" t="s">
        <v>36</v>
      </c>
      <c r="J269" t="s">
        <v>17</v>
      </c>
      <c r="K269" t="s">
        <v>18</v>
      </c>
      <c r="L269" t="str">
        <f>TEXT(table1[[#This Row],[Date]],"MMM")</f>
        <v>Jan</v>
      </c>
      <c r="M269">
        <f>MONTH(table1[[#This Row],[Date]])</f>
        <v>1</v>
      </c>
      <c r="N269" t="str">
        <f>TEXT(table1[[#This Row],[Date]],"ddd")</f>
        <v>Sun</v>
      </c>
      <c r="O269" s="2">
        <f>table1[[#This Row],[Credit]]-table1[[#This Row],[Debit]]</f>
        <v>-12</v>
      </c>
    </row>
    <row r="270" spans="5:15" x14ac:dyDescent="0.25">
      <c r="E270" s="1">
        <v>44200</v>
      </c>
      <c r="F270" t="s">
        <v>15</v>
      </c>
      <c r="G270" s="2">
        <v>5</v>
      </c>
      <c r="H270" s="2"/>
      <c r="I270" t="s">
        <v>16</v>
      </c>
      <c r="J270" t="s">
        <v>17</v>
      </c>
      <c r="K270" t="s">
        <v>18</v>
      </c>
      <c r="L270" t="str">
        <f>TEXT(table1[[#This Row],[Date]],"MMM")</f>
        <v>Jan</v>
      </c>
      <c r="M270">
        <f>MONTH(table1[[#This Row],[Date]])</f>
        <v>1</v>
      </c>
      <c r="N270" t="str">
        <f>TEXT(table1[[#This Row],[Date]],"ddd")</f>
        <v>Mon</v>
      </c>
      <c r="O270" s="2">
        <f>table1[[#This Row],[Credit]]-table1[[#This Row],[Debit]]</f>
        <v>-5</v>
      </c>
    </row>
    <row r="271" spans="5:15" x14ac:dyDescent="0.25">
      <c r="E271" s="1">
        <v>44201</v>
      </c>
      <c r="F271" t="s">
        <v>15</v>
      </c>
      <c r="G271" s="2">
        <v>5</v>
      </c>
      <c r="H271" s="2"/>
      <c r="I271" t="s">
        <v>16</v>
      </c>
      <c r="J271" t="s">
        <v>17</v>
      </c>
      <c r="K271" t="s">
        <v>18</v>
      </c>
      <c r="L271" t="str">
        <f>TEXT(table1[[#This Row],[Date]],"MMM")</f>
        <v>Jan</v>
      </c>
      <c r="M271">
        <f>MONTH(table1[[#This Row],[Date]])</f>
        <v>1</v>
      </c>
      <c r="N271" t="str">
        <f>TEXT(table1[[#This Row],[Date]],"ddd")</f>
        <v>Tue</v>
      </c>
      <c r="O271" s="2">
        <f>table1[[#This Row],[Credit]]-table1[[#This Row],[Debit]]</f>
        <v>-5</v>
      </c>
    </row>
    <row r="272" spans="5:15" x14ac:dyDescent="0.25">
      <c r="E272" s="1">
        <v>44202</v>
      </c>
      <c r="F272" t="s">
        <v>15</v>
      </c>
      <c r="G272" s="2">
        <v>5</v>
      </c>
      <c r="H272" s="2"/>
      <c r="I272" t="s">
        <v>16</v>
      </c>
      <c r="J272" t="s">
        <v>17</v>
      </c>
      <c r="K272" t="s">
        <v>18</v>
      </c>
      <c r="L272" t="str">
        <f>TEXT(table1[[#This Row],[Date]],"MMM")</f>
        <v>Jan</v>
      </c>
      <c r="M272">
        <f>MONTH(table1[[#This Row],[Date]])</f>
        <v>1</v>
      </c>
      <c r="N272" t="str">
        <f>TEXT(table1[[#This Row],[Date]],"ddd")</f>
        <v>Wed</v>
      </c>
      <c r="O272" s="2">
        <f>table1[[#This Row],[Credit]]-table1[[#This Row],[Debit]]</f>
        <v>-5</v>
      </c>
    </row>
    <row r="273" spans="5:15" x14ac:dyDescent="0.25">
      <c r="E273" s="1">
        <v>44203</v>
      </c>
      <c r="F273" t="s">
        <v>15</v>
      </c>
      <c r="G273" s="2">
        <v>5</v>
      </c>
      <c r="H273" s="2"/>
      <c r="I273" t="s">
        <v>16</v>
      </c>
      <c r="J273" t="s">
        <v>17</v>
      </c>
      <c r="K273" t="s">
        <v>18</v>
      </c>
      <c r="L273" t="str">
        <f>TEXT(table1[[#This Row],[Date]],"MMM")</f>
        <v>Jan</v>
      </c>
      <c r="M273">
        <f>MONTH(table1[[#This Row],[Date]])</f>
        <v>1</v>
      </c>
      <c r="N273" t="str">
        <f>TEXT(table1[[#This Row],[Date]],"ddd")</f>
        <v>Thu</v>
      </c>
      <c r="O273" s="2">
        <f>table1[[#This Row],[Credit]]-table1[[#This Row],[Debit]]</f>
        <v>-5</v>
      </c>
    </row>
    <row r="274" spans="5:15" x14ac:dyDescent="0.25">
      <c r="E274" s="1">
        <v>44204</v>
      </c>
      <c r="F274" t="s">
        <v>15</v>
      </c>
      <c r="G274" s="2">
        <v>5</v>
      </c>
      <c r="H274" s="2"/>
      <c r="I274" t="s">
        <v>16</v>
      </c>
      <c r="J274" t="s">
        <v>17</v>
      </c>
      <c r="K274" t="s">
        <v>18</v>
      </c>
      <c r="L274" t="str">
        <f>TEXT(table1[[#This Row],[Date]],"MMM")</f>
        <v>Jan</v>
      </c>
      <c r="M274">
        <f>MONTH(table1[[#This Row],[Date]])</f>
        <v>1</v>
      </c>
      <c r="N274" t="str">
        <f>TEXT(table1[[#This Row],[Date]],"ddd")</f>
        <v>Fri</v>
      </c>
      <c r="O274" s="2">
        <f>table1[[#This Row],[Credit]]-table1[[#This Row],[Debit]]</f>
        <v>-5</v>
      </c>
    </row>
    <row r="275" spans="5:15" x14ac:dyDescent="0.25">
      <c r="E275" s="1">
        <v>44207</v>
      </c>
      <c r="F275" t="s">
        <v>15</v>
      </c>
      <c r="G275" s="2">
        <v>5</v>
      </c>
      <c r="H275" s="2"/>
      <c r="I275" t="s">
        <v>16</v>
      </c>
      <c r="J275" t="s">
        <v>17</v>
      </c>
      <c r="K275" t="s">
        <v>18</v>
      </c>
      <c r="L275" t="str">
        <f>TEXT(table1[[#This Row],[Date]],"MMM")</f>
        <v>Jan</v>
      </c>
      <c r="M275">
        <f>MONTH(table1[[#This Row],[Date]])</f>
        <v>1</v>
      </c>
      <c r="N275" t="str">
        <f>TEXT(table1[[#This Row],[Date]],"ddd")</f>
        <v>Mon</v>
      </c>
      <c r="O275" s="2">
        <f>table1[[#This Row],[Credit]]-table1[[#This Row],[Debit]]</f>
        <v>-5</v>
      </c>
    </row>
    <row r="276" spans="5:15" x14ac:dyDescent="0.25">
      <c r="E276" s="1">
        <v>44208</v>
      </c>
      <c r="F276" t="s">
        <v>15</v>
      </c>
      <c r="G276" s="2">
        <v>5</v>
      </c>
      <c r="H276" s="2"/>
      <c r="I276" t="s">
        <v>16</v>
      </c>
      <c r="J276" t="s">
        <v>17</v>
      </c>
      <c r="K276" t="s">
        <v>18</v>
      </c>
      <c r="L276" t="str">
        <f>TEXT(table1[[#This Row],[Date]],"MMM")</f>
        <v>Jan</v>
      </c>
      <c r="M276">
        <f>MONTH(table1[[#This Row],[Date]])</f>
        <v>1</v>
      </c>
      <c r="N276" t="str">
        <f>TEXT(table1[[#This Row],[Date]],"ddd")</f>
        <v>Tue</v>
      </c>
      <c r="O276" s="2">
        <f>table1[[#This Row],[Credit]]-table1[[#This Row],[Debit]]</f>
        <v>-5</v>
      </c>
    </row>
    <row r="277" spans="5:15" x14ac:dyDescent="0.25">
      <c r="E277" s="1">
        <v>44209</v>
      </c>
      <c r="F277" t="s">
        <v>15</v>
      </c>
      <c r="G277" s="2">
        <v>5</v>
      </c>
      <c r="H277" s="2"/>
      <c r="I277" t="s">
        <v>16</v>
      </c>
      <c r="J277" t="s">
        <v>17</v>
      </c>
      <c r="K277" t="s">
        <v>18</v>
      </c>
      <c r="L277" t="str">
        <f>TEXT(table1[[#This Row],[Date]],"MMM")</f>
        <v>Jan</v>
      </c>
      <c r="M277">
        <f>MONTH(table1[[#This Row],[Date]])</f>
        <v>1</v>
      </c>
      <c r="N277" t="str">
        <f>TEXT(table1[[#This Row],[Date]],"ddd")</f>
        <v>Wed</v>
      </c>
      <c r="O277" s="2">
        <f>table1[[#This Row],[Credit]]-table1[[#This Row],[Debit]]</f>
        <v>-5</v>
      </c>
    </row>
    <row r="278" spans="5:15" x14ac:dyDescent="0.25">
      <c r="E278" s="1">
        <v>44210</v>
      </c>
      <c r="F278" t="s">
        <v>15</v>
      </c>
      <c r="G278" s="2">
        <v>5</v>
      </c>
      <c r="H278" s="2"/>
      <c r="I278" t="s">
        <v>16</v>
      </c>
      <c r="J278" t="s">
        <v>17</v>
      </c>
      <c r="K278" t="s">
        <v>18</v>
      </c>
      <c r="L278" t="str">
        <f>TEXT(table1[[#This Row],[Date]],"MMM")</f>
        <v>Jan</v>
      </c>
      <c r="M278">
        <f>MONTH(table1[[#This Row],[Date]])</f>
        <v>1</v>
      </c>
      <c r="N278" t="str">
        <f>TEXT(table1[[#This Row],[Date]],"ddd")</f>
        <v>Thu</v>
      </c>
      <c r="O278" s="2">
        <f>table1[[#This Row],[Credit]]-table1[[#This Row],[Debit]]</f>
        <v>-5</v>
      </c>
    </row>
    <row r="279" spans="5:15" x14ac:dyDescent="0.25">
      <c r="E279" s="1">
        <v>44211</v>
      </c>
      <c r="F279" t="s">
        <v>15</v>
      </c>
      <c r="G279" s="2">
        <v>5</v>
      </c>
      <c r="H279" s="2"/>
      <c r="I279" t="s">
        <v>16</v>
      </c>
      <c r="J279" t="s">
        <v>17</v>
      </c>
      <c r="K279" t="s">
        <v>18</v>
      </c>
      <c r="L279" t="str">
        <f>TEXT(table1[[#This Row],[Date]],"MMM")</f>
        <v>Jan</v>
      </c>
      <c r="M279">
        <f>MONTH(table1[[#This Row],[Date]])</f>
        <v>1</v>
      </c>
      <c r="N279" t="str">
        <f>TEXT(table1[[#This Row],[Date]],"ddd")</f>
        <v>Fri</v>
      </c>
      <c r="O279" s="2">
        <f>table1[[#This Row],[Credit]]-table1[[#This Row],[Debit]]</f>
        <v>-5</v>
      </c>
    </row>
    <row r="280" spans="5:15" x14ac:dyDescent="0.25">
      <c r="E280" s="1">
        <v>44212</v>
      </c>
      <c r="F280" t="s">
        <v>15</v>
      </c>
      <c r="G280" s="2">
        <v>5</v>
      </c>
      <c r="H280" s="2"/>
      <c r="I280" t="s">
        <v>16</v>
      </c>
      <c r="J280" t="s">
        <v>17</v>
      </c>
      <c r="K280" t="s">
        <v>18</v>
      </c>
      <c r="L280" t="str">
        <f>TEXT(table1[[#This Row],[Date]],"MMM")</f>
        <v>Jan</v>
      </c>
      <c r="M280">
        <f>MONTH(table1[[#This Row],[Date]])</f>
        <v>1</v>
      </c>
      <c r="N280" t="str">
        <f>TEXT(table1[[#This Row],[Date]],"ddd")</f>
        <v>Sat</v>
      </c>
      <c r="O280" s="2">
        <f>table1[[#This Row],[Credit]]-table1[[#This Row],[Debit]]</f>
        <v>-5</v>
      </c>
    </row>
    <row r="281" spans="5:15" x14ac:dyDescent="0.25">
      <c r="E281" s="1">
        <v>44214</v>
      </c>
      <c r="F281" t="s">
        <v>15</v>
      </c>
      <c r="G281" s="2">
        <v>5</v>
      </c>
      <c r="H281" s="2"/>
      <c r="I281" t="s">
        <v>16</v>
      </c>
      <c r="J281" t="s">
        <v>17</v>
      </c>
      <c r="K281" t="s">
        <v>18</v>
      </c>
      <c r="L281" t="str">
        <f>TEXT(table1[[#This Row],[Date]],"MMM")</f>
        <v>Jan</v>
      </c>
      <c r="M281">
        <f>MONTH(table1[[#This Row],[Date]])</f>
        <v>1</v>
      </c>
      <c r="N281" t="str">
        <f>TEXT(table1[[#This Row],[Date]],"ddd")</f>
        <v>Mon</v>
      </c>
      <c r="O281" s="2">
        <f>table1[[#This Row],[Credit]]-table1[[#This Row],[Debit]]</f>
        <v>-5</v>
      </c>
    </row>
    <row r="282" spans="5:15" x14ac:dyDescent="0.25">
      <c r="E282" s="1">
        <v>44215</v>
      </c>
      <c r="F282" t="s">
        <v>15</v>
      </c>
      <c r="G282" s="2">
        <v>5</v>
      </c>
      <c r="H282" s="2"/>
      <c r="I282" t="s">
        <v>16</v>
      </c>
      <c r="J282" t="s">
        <v>17</v>
      </c>
      <c r="K282" t="s">
        <v>18</v>
      </c>
      <c r="L282" t="str">
        <f>TEXT(table1[[#This Row],[Date]],"MMM")</f>
        <v>Jan</v>
      </c>
      <c r="M282">
        <f>MONTH(table1[[#This Row],[Date]])</f>
        <v>1</v>
      </c>
      <c r="N282" t="str">
        <f>TEXT(table1[[#This Row],[Date]],"ddd")</f>
        <v>Tue</v>
      </c>
      <c r="O282" s="2">
        <f>table1[[#This Row],[Credit]]-table1[[#This Row],[Debit]]</f>
        <v>-5</v>
      </c>
    </row>
    <row r="283" spans="5:15" x14ac:dyDescent="0.25">
      <c r="E283" s="1">
        <v>44216</v>
      </c>
      <c r="F283" t="s">
        <v>15</v>
      </c>
      <c r="G283" s="2">
        <v>5</v>
      </c>
      <c r="H283" s="2"/>
      <c r="I283" t="s">
        <v>16</v>
      </c>
      <c r="J283" t="s">
        <v>17</v>
      </c>
      <c r="K283" t="s">
        <v>18</v>
      </c>
      <c r="L283" t="str">
        <f>TEXT(table1[[#This Row],[Date]],"MMM")</f>
        <v>Jan</v>
      </c>
      <c r="M283">
        <f>MONTH(table1[[#This Row],[Date]])</f>
        <v>1</v>
      </c>
      <c r="N283" t="str">
        <f>TEXT(table1[[#This Row],[Date]],"ddd")</f>
        <v>Wed</v>
      </c>
      <c r="O283" s="2">
        <f>table1[[#This Row],[Credit]]-table1[[#This Row],[Debit]]</f>
        <v>-5</v>
      </c>
    </row>
    <row r="284" spans="5:15" x14ac:dyDescent="0.25">
      <c r="E284" s="1">
        <v>44217</v>
      </c>
      <c r="F284" t="s">
        <v>15</v>
      </c>
      <c r="G284" s="2">
        <v>5</v>
      </c>
      <c r="H284" s="2"/>
      <c r="I284" t="s">
        <v>16</v>
      </c>
      <c r="J284" t="s">
        <v>17</v>
      </c>
      <c r="K284" t="s">
        <v>18</v>
      </c>
      <c r="L284" t="str">
        <f>TEXT(table1[[#This Row],[Date]],"MMM")</f>
        <v>Jan</v>
      </c>
      <c r="M284">
        <f>MONTH(table1[[#This Row],[Date]])</f>
        <v>1</v>
      </c>
      <c r="N284" t="str">
        <f>TEXT(table1[[#This Row],[Date]],"ddd")</f>
        <v>Thu</v>
      </c>
      <c r="O284" s="2">
        <f>table1[[#This Row],[Credit]]-table1[[#This Row],[Debit]]</f>
        <v>-5</v>
      </c>
    </row>
    <row r="285" spans="5:15" x14ac:dyDescent="0.25">
      <c r="E285" s="1">
        <v>44218</v>
      </c>
      <c r="F285" t="s">
        <v>15</v>
      </c>
      <c r="G285" s="2">
        <v>5</v>
      </c>
      <c r="H285" s="2"/>
      <c r="I285" t="s">
        <v>16</v>
      </c>
      <c r="J285" t="s">
        <v>17</v>
      </c>
      <c r="K285" t="s">
        <v>18</v>
      </c>
      <c r="L285" t="str">
        <f>TEXT(table1[[#This Row],[Date]],"MMM")</f>
        <v>Jan</v>
      </c>
      <c r="M285">
        <f>MONTH(table1[[#This Row],[Date]])</f>
        <v>1</v>
      </c>
      <c r="N285" t="str">
        <f>TEXT(table1[[#This Row],[Date]],"ddd")</f>
        <v>Fri</v>
      </c>
      <c r="O285" s="2">
        <f>table1[[#This Row],[Credit]]-table1[[#This Row],[Debit]]</f>
        <v>-5</v>
      </c>
    </row>
    <row r="286" spans="5:15" x14ac:dyDescent="0.25">
      <c r="E286" s="1">
        <v>44221</v>
      </c>
      <c r="F286" t="s">
        <v>15</v>
      </c>
      <c r="G286" s="2">
        <v>5</v>
      </c>
      <c r="H286" s="2"/>
      <c r="I286" t="s">
        <v>16</v>
      </c>
      <c r="J286" t="s">
        <v>17</v>
      </c>
      <c r="K286" t="s">
        <v>18</v>
      </c>
      <c r="L286" t="str">
        <f>TEXT(table1[[#This Row],[Date]],"MMM")</f>
        <v>Jan</v>
      </c>
      <c r="M286">
        <f>MONTH(table1[[#This Row],[Date]])</f>
        <v>1</v>
      </c>
      <c r="N286" t="str">
        <f>TEXT(table1[[#This Row],[Date]],"ddd")</f>
        <v>Mon</v>
      </c>
      <c r="O286" s="2">
        <f>table1[[#This Row],[Credit]]-table1[[#This Row],[Debit]]</f>
        <v>-5</v>
      </c>
    </row>
    <row r="287" spans="5:15" x14ac:dyDescent="0.25">
      <c r="E287" s="1">
        <v>44222</v>
      </c>
      <c r="F287" t="s">
        <v>15</v>
      </c>
      <c r="G287" s="2">
        <v>5</v>
      </c>
      <c r="H287" s="2"/>
      <c r="I287" t="s">
        <v>16</v>
      </c>
      <c r="J287" t="s">
        <v>17</v>
      </c>
      <c r="K287" t="s">
        <v>18</v>
      </c>
      <c r="L287" t="str">
        <f>TEXT(table1[[#This Row],[Date]],"MMM")</f>
        <v>Jan</v>
      </c>
      <c r="M287">
        <f>MONTH(table1[[#This Row],[Date]])</f>
        <v>1</v>
      </c>
      <c r="N287" t="str">
        <f>TEXT(table1[[#This Row],[Date]],"ddd")</f>
        <v>Tue</v>
      </c>
      <c r="O287" s="2">
        <f>table1[[#This Row],[Credit]]-table1[[#This Row],[Debit]]</f>
        <v>-5</v>
      </c>
    </row>
    <row r="288" spans="5:15" x14ac:dyDescent="0.25">
      <c r="E288" s="1">
        <v>44223</v>
      </c>
      <c r="F288" t="s">
        <v>15</v>
      </c>
      <c r="G288" s="2">
        <v>5</v>
      </c>
      <c r="H288" s="2"/>
      <c r="I288" t="s">
        <v>16</v>
      </c>
      <c r="J288" t="s">
        <v>17</v>
      </c>
      <c r="K288" t="s">
        <v>18</v>
      </c>
      <c r="L288" t="str">
        <f>TEXT(table1[[#This Row],[Date]],"MMM")</f>
        <v>Jan</v>
      </c>
      <c r="M288">
        <f>MONTH(table1[[#This Row],[Date]])</f>
        <v>1</v>
      </c>
      <c r="N288" t="str">
        <f>TEXT(table1[[#This Row],[Date]],"ddd")</f>
        <v>Wed</v>
      </c>
      <c r="O288" s="2">
        <f>table1[[#This Row],[Credit]]-table1[[#This Row],[Debit]]</f>
        <v>-5</v>
      </c>
    </row>
    <row r="289" spans="5:15" x14ac:dyDescent="0.25">
      <c r="E289" s="1">
        <v>44224</v>
      </c>
      <c r="F289" t="s">
        <v>15</v>
      </c>
      <c r="G289" s="2">
        <v>5</v>
      </c>
      <c r="H289" s="2"/>
      <c r="I289" t="s">
        <v>16</v>
      </c>
      <c r="J289" t="s">
        <v>17</v>
      </c>
      <c r="K289" t="s">
        <v>18</v>
      </c>
      <c r="L289" t="str">
        <f>TEXT(table1[[#This Row],[Date]],"MMM")</f>
        <v>Jan</v>
      </c>
      <c r="M289">
        <f>MONTH(table1[[#This Row],[Date]])</f>
        <v>1</v>
      </c>
      <c r="N289" t="str">
        <f>TEXT(table1[[#This Row],[Date]],"ddd")</f>
        <v>Thu</v>
      </c>
      <c r="O289" s="2">
        <f>table1[[#This Row],[Credit]]-table1[[#This Row],[Debit]]</f>
        <v>-5</v>
      </c>
    </row>
    <row r="290" spans="5:15" x14ac:dyDescent="0.25">
      <c r="E290" s="1">
        <v>44225</v>
      </c>
      <c r="F290" t="s">
        <v>15</v>
      </c>
      <c r="G290" s="2">
        <v>5</v>
      </c>
      <c r="H290" s="2"/>
      <c r="I290" t="s">
        <v>16</v>
      </c>
      <c r="J290" t="s">
        <v>17</v>
      </c>
      <c r="K290" t="s">
        <v>18</v>
      </c>
      <c r="L290" t="str">
        <f>TEXT(table1[[#This Row],[Date]],"MMM")</f>
        <v>Jan</v>
      </c>
      <c r="M290">
        <f>MONTH(table1[[#This Row],[Date]])</f>
        <v>1</v>
      </c>
      <c r="N290" t="str">
        <f>TEXT(table1[[#This Row],[Date]],"ddd")</f>
        <v>Fri</v>
      </c>
      <c r="O290" s="2">
        <f>table1[[#This Row],[Credit]]-table1[[#This Row],[Debit]]</f>
        <v>-5</v>
      </c>
    </row>
    <row r="291" spans="5:15" x14ac:dyDescent="0.25">
      <c r="E291" s="1">
        <v>44228</v>
      </c>
      <c r="F291" t="s">
        <v>15</v>
      </c>
      <c r="G291" s="2">
        <v>5</v>
      </c>
      <c r="H291" s="2"/>
      <c r="I291" t="s">
        <v>16</v>
      </c>
      <c r="J291" t="s">
        <v>17</v>
      </c>
      <c r="K291" t="s">
        <v>18</v>
      </c>
      <c r="L291" t="str">
        <f>TEXT(table1[[#This Row],[Date]],"MMM")</f>
        <v>Feb</v>
      </c>
      <c r="M291">
        <f>MONTH(table1[[#This Row],[Date]])</f>
        <v>2</v>
      </c>
      <c r="N291" t="str">
        <f>TEXT(table1[[#This Row],[Date]],"ddd")</f>
        <v>Mon</v>
      </c>
      <c r="O291" s="2">
        <f>table1[[#This Row],[Credit]]-table1[[#This Row],[Debit]]</f>
        <v>-5</v>
      </c>
    </row>
    <row r="292" spans="5:15" x14ac:dyDescent="0.25">
      <c r="E292" s="1">
        <v>44229</v>
      </c>
      <c r="F292" t="s">
        <v>15</v>
      </c>
      <c r="G292" s="2">
        <v>5</v>
      </c>
      <c r="H292" s="2"/>
      <c r="I292" t="s">
        <v>16</v>
      </c>
      <c r="J292" t="s">
        <v>17</v>
      </c>
      <c r="K292" t="s">
        <v>18</v>
      </c>
      <c r="L292" t="str">
        <f>TEXT(table1[[#This Row],[Date]],"MMM")</f>
        <v>Feb</v>
      </c>
      <c r="M292">
        <f>MONTH(table1[[#This Row],[Date]])</f>
        <v>2</v>
      </c>
      <c r="N292" t="str">
        <f>TEXT(table1[[#This Row],[Date]],"ddd")</f>
        <v>Tue</v>
      </c>
      <c r="O292" s="2">
        <f>table1[[#This Row],[Credit]]-table1[[#This Row],[Debit]]</f>
        <v>-5</v>
      </c>
    </row>
    <row r="293" spans="5:15" x14ac:dyDescent="0.25">
      <c r="E293" s="1">
        <v>44230</v>
      </c>
      <c r="F293" t="s">
        <v>15</v>
      </c>
      <c r="G293" s="2">
        <v>5</v>
      </c>
      <c r="H293" s="2"/>
      <c r="I293" t="s">
        <v>16</v>
      </c>
      <c r="J293" t="s">
        <v>17</v>
      </c>
      <c r="K293" t="s">
        <v>18</v>
      </c>
      <c r="L293" t="str">
        <f>TEXT(table1[[#This Row],[Date]],"MMM")</f>
        <v>Feb</v>
      </c>
      <c r="M293">
        <f>MONTH(table1[[#This Row],[Date]])</f>
        <v>2</v>
      </c>
      <c r="N293" t="str">
        <f>TEXT(table1[[#This Row],[Date]],"ddd")</f>
        <v>Wed</v>
      </c>
      <c r="O293" s="2">
        <f>table1[[#This Row],[Credit]]-table1[[#This Row],[Debit]]</f>
        <v>-5</v>
      </c>
    </row>
    <row r="294" spans="5:15" x14ac:dyDescent="0.25">
      <c r="E294" s="1">
        <v>44231</v>
      </c>
      <c r="F294" t="s">
        <v>15</v>
      </c>
      <c r="G294" s="2">
        <v>5</v>
      </c>
      <c r="H294" s="2"/>
      <c r="I294" t="s">
        <v>16</v>
      </c>
      <c r="J294" t="s">
        <v>17</v>
      </c>
      <c r="K294" t="s">
        <v>18</v>
      </c>
      <c r="L294" t="str">
        <f>TEXT(table1[[#This Row],[Date]],"MMM")</f>
        <v>Feb</v>
      </c>
      <c r="M294">
        <f>MONTH(table1[[#This Row],[Date]])</f>
        <v>2</v>
      </c>
      <c r="N294" t="str">
        <f>TEXT(table1[[#This Row],[Date]],"ddd")</f>
        <v>Thu</v>
      </c>
      <c r="O294" s="2">
        <f>table1[[#This Row],[Credit]]-table1[[#This Row],[Debit]]</f>
        <v>-5</v>
      </c>
    </row>
    <row r="295" spans="5:15" x14ac:dyDescent="0.25">
      <c r="E295" s="1">
        <v>44232</v>
      </c>
      <c r="F295" t="s">
        <v>15</v>
      </c>
      <c r="G295" s="2">
        <v>5</v>
      </c>
      <c r="H295" s="2"/>
      <c r="I295" t="s">
        <v>16</v>
      </c>
      <c r="J295" t="s">
        <v>17</v>
      </c>
      <c r="K295" t="s">
        <v>18</v>
      </c>
      <c r="L295" t="str">
        <f>TEXT(table1[[#This Row],[Date]],"MMM")</f>
        <v>Feb</v>
      </c>
      <c r="M295">
        <f>MONTH(table1[[#This Row],[Date]])</f>
        <v>2</v>
      </c>
      <c r="N295" t="str">
        <f>TEXT(table1[[#This Row],[Date]],"ddd")</f>
        <v>Fri</v>
      </c>
      <c r="O295" s="2">
        <f>table1[[#This Row],[Credit]]-table1[[#This Row],[Debit]]</f>
        <v>-5</v>
      </c>
    </row>
    <row r="296" spans="5:15" x14ac:dyDescent="0.25">
      <c r="E296" s="1">
        <v>44235</v>
      </c>
      <c r="F296" t="s">
        <v>15</v>
      </c>
      <c r="G296" s="2">
        <v>5</v>
      </c>
      <c r="H296" s="2"/>
      <c r="I296" t="s">
        <v>16</v>
      </c>
      <c r="J296" t="s">
        <v>17</v>
      </c>
      <c r="K296" t="s">
        <v>18</v>
      </c>
      <c r="L296" t="str">
        <f>TEXT(table1[[#This Row],[Date]],"MMM")</f>
        <v>Feb</v>
      </c>
      <c r="M296">
        <f>MONTH(table1[[#This Row],[Date]])</f>
        <v>2</v>
      </c>
      <c r="N296" t="str">
        <f>TEXT(table1[[#This Row],[Date]],"ddd")</f>
        <v>Mon</v>
      </c>
      <c r="O296" s="2">
        <f>table1[[#This Row],[Credit]]-table1[[#This Row],[Debit]]</f>
        <v>-5</v>
      </c>
    </row>
    <row r="297" spans="5:15" x14ac:dyDescent="0.25">
      <c r="E297" s="1">
        <v>44236</v>
      </c>
      <c r="F297" t="s">
        <v>15</v>
      </c>
      <c r="G297" s="2">
        <v>5</v>
      </c>
      <c r="H297" s="2"/>
      <c r="I297" t="s">
        <v>16</v>
      </c>
      <c r="J297" t="s">
        <v>17</v>
      </c>
      <c r="K297" t="s">
        <v>18</v>
      </c>
      <c r="L297" t="str">
        <f>TEXT(table1[[#This Row],[Date]],"MMM")</f>
        <v>Feb</v>
      </c>
      <c r="M297">
        <f>MONTH(table1[[#This Row],[Date]])</f>
        <v>2</v>
      </c>
      <c r="N297" t="str">
        <f>TEXT(table1[[#This Row],[Date]],"ddd")</f>
        <v>Tue</v>
      </c>
      <c r="O297" s="2">
        <f>table1[[#This Row],[Credit]]-table1[[#This Row],[Debit]]</f>
        <v>-5</v>
      </c>
    </row>
    <row r="298" spans="5:15" x14ac:dyDescent="0.25">
      <c r="E298" s="1">
        <v>44237</v>
      </c>
      <c r="F298" t="s">
        <v>15</v>
      </c>
      <c r="G298" s="2">
        <v>5</v>
      </c>
      <c r="H298" s="2"/>
      <c r="I298" t="s">
        <v>16</v>
      </c>
      <c r="J298" t="s">
        <v>17</v>
      </c>
      <c r="K298" t="s">
        <v>18</v>
      </c>
      <c r="L298" t="str">
        <f>TEXT(table1[[#This Row],[Date]],"MMM")</f>
        <v>Feb</v>
      </c>
      <c r="M298">
        <f>MONTH(table1[[#This Row],[Date]])</f>
        <v>2</v>
      </c>
      <c r="N298" t="str">
        <f>TEXT(table1[[#This Row],[Date]],"ddd")</f>
        <v>Wed</v>
      </c>
      <c r="O298" s="2">
        <f>table1[[#This Row],[Credit]]-table1[[#This Row],[Debit]]</f>
        <v>-5</v>
      </c>
    </row>
    <row r="299" spans="5:15" x14ac:dyDescent="0.25">
      <c r="E299" s="1">
        <v>44238</v>
      </c>
      <c r="F299" t="s">
        <v>15</v>
      </c>
      <c r="G299" s="2">
        <v>5</v>
      </c>
      <c r="H299" s="2"/>
      <c r="I299" t="s">
        <v>16</v>
      </c>
      <c r="J299" t="s">
        <v>17</v>
      </c>
      <c r="K299" t="s">
        <v>18</v>
      </c>
      <c r="L299" t="str">
        <f>TEXT(table1[[#This Row],[Date]],"MMM")</f>
        <v>Feb</v>
      </c>
      <c r="M299">
        <f>MONTH(table1[[#This Row],[Date]])</f>
        <v>2</v>
      </c>
      <c r="N299" t="str">
        <f>TEXT(table1[[#This Row],[Date]],"ddd")</f>
        <v>Thu</v>
      </c>
      <c r="O299" s="2">
        <f>table1[[#This Row],[Credit]]-table1[[#This Row],[Debit]]</f>
        <v>-5</v>
      </c>
    </row>
    <row r="300" spans="5:15" x14ac:dyDescent="0.25">
      <c r="E300" s="1">
        <v>44239</v>
      </c>
      <c r="F300" t="s">
        <v>15</v>
      </c>
      <c r="G300" s="2">
        <v>5</v>
      </c>
      <c r="H300" s="2"/>
      <c r="I300" t="s">
        <v>16</v>
      </c>
      <c r="J300" t="s">
        <v>17</v>
      </c>
      <c r="K300" t="s">
        <v>18</v>
      </c>
      <c r="L300" t="str">
        <f>TEXT(table1[[#This Row],[Date]],"MMM")</f>
        <v>Feb</v>
      </c>
      <c r="M300">
        <f>MONTH(table1[[#This Row],[Date]])</f>
        <v>2</v>
      </c>
      <c r="N300" t="str">
        <f>TEXT(table1[[#This Row],[Date]],"ddd")</f>
        <v>Fri</v>
      </c>
      <c r="O300" s="2">
        <f>table1[[#This Row],[Credit]]-table1[[#This Row],[Debit]]</f>
        <v>-5</v>
      </c>
    </row>
    <row r="301" spans="5:15" x14ac:dyDescent="0.25">
      <c r="E301" s="1">
        <v>44240</v>
      </c>
      <c r="F301" t="s">
        <v>15</v>
      </c>
      <c r="G301" s="2">
        <v>5</v>
      </c>
      <c r="H301" s="2"/>
      <c r="I301" t="s">
        <v>16</v>
      </c>
      <c r="J301" t="s">
        <v>17</v>
      </c>
      <c r="K301" t="s">
        <v>18</v>
      </c>
      <c r="L301" t="str">
        <f>TEXT(table1[[#This Row],[Date]],"MMM")</f>
        <v>Feb</v>
      </c>
      <c r="M301">
        <f>MONTH(table1[[#This Row],[Date]])</f>
        <v>2</v>
      </c>
      <c r="N301" t="str">
        <f>TEXT(table1[[#This Row],[Date]],"ddd")</f>
        <v>Sat</v>
      </c>
      <c r="O301" s="2">
        <f>table1[[#This Row],[Credit]]-table1[[#This Row],[Debit]]</f>
        <v>-5</v>
      </c>
    </row>
    <row r="302" spans="5:15" x14ac:dyDescent="0.25">
      <c r="E302" s="1">
        <v>44242</v>
      </c>
      <c r="F302" t="s">
        <v>15</v>
      </c>
      <c r="G302" s="2">
        <v>5</v>
      </c>
      <c r="H302" s="2"/>
      <c r="I302" t="s">
        <v>16</v>
      </c>
      <c r="J302" t="s">
        <v>17</v>
      </c>
      <c r="K302" t="s">
        <v>18</v>
      </c>
      <c r="L302" t="str">
        <f>TEXT(table1[[#This Row],[Date]],"MMM")</f>
        <v>Feb</v>
      </c>
      <c r="M302">
        <f>MONTH(table1[[#This Row],[Date]])</f>
        <v>2</v>
      </c>
      <c r="N302" t="str">
        <f>TEXT(table1[[#This Row],[Date]],"ddd")</f>
        <v>Mon</v>
      </c>
      <c r="O302" s="2">
        <f>table1[[#This Row],[Credit]]-table1[[#This Row],[Debit]]</f>
        <v>-5</v>
      </c>
    </row>
    <row r="303" spans="5:15" x14ac:dyDescent="0.25">
      <c r="E303" s="1">
        <v>44243</v>
      </c>
      <c r="F303" t="s">
        <v>15</v>
      </c>
      <c r="G303" s="2">
        <v>5</v>
      </c>
      <c r="H303" s="2"/>
      <c r="I303" t="s">
        <v>16</v>
      </c>
      <c r="J303" t="s">
        <v>17</v>
      </c>
      <c r="K303" t="s">
        <v>18</v>
      </c>
      <c r="L303" t="str">
        <f>TEXT(table1[[#This Row],[Date]],"MMM")</f>
        <v>Feb</v>
      </c>
      <c r="M303">
        <f>MONTH(table1[[#This Row],[Date]])</f>
        <v>2</v>
      </c>
      <c r="N303" t="str">
        <f>TEXT(table1[[#This Row],[Date]],"ddd")</f>
        <v>Tue</v>
      </c>
      <c r="O303" s="2">
        <f>table1[[#This Row],[Credit]]-table1[[#This Row],[Debit]]</f>
        <v>-5</v>
      </c>
    </row>
    <row r="304" spans="5:15" x14ac:dyDescent="0.25">
      <c r="E304" s="1">
        <v>44244</v>
      </c>
      <c r="F304" t="s">
        <v>15</v>
      </c>
      <c r="G304" s="2">
        <v>5</v>
      </c>
      <c r="H304" s="2"/>
      <c r="I304" t="s">
        <v>16</v>
      </c>
      <c r="J304" t="s">
        <v>17</v>
      </c>
      <c r="K304" t="s">
        <v>18</v>
      </c>
      <c r="L304" t="str">
        <f>TEXT(table1[[#This Row],[Date]],"MMM")</f>
        <v>Feb</v>
      </c>
      <c r="M304">
        <f>MONTH(table1[[#This Row],[Date]])</f>
        <v>2</v>
      </c>
      <c r="N304" t="str">
        <f>TEXT(table1[[#This Row],[Date]],"ddd")</f>
        <v>Wed</v>
      </c>
      <c r="O304" s="2">
        <f>table1[[#This Row],[Credit]]-table1[[#This Row],[Debit]]</f>
        <v>-5</v>
      </c>
    </row>
    <row r="305" spans="5:15" x14ac:dyDescent="0.25">
      <c r="E305" s="1">
        <v>44245</v>
      </c>
      <c r="F305" t="s">
        <v>15</v>
      </c>
      <c r="G305" s="2">
        <v>5</v>
      </c>
      <c r="H305" s="2"/>
      <c r="I305" t="s">
        <v>16</v>
      </c>
      <c r="J305" t="s">
        <v>17</v>
      </c>
      <c r="K305" t="s">
        <v>18</v>
      </c>
      <c r="L305" t="str">
        <f>TEXT(table1[[#This Row],[Date]],"MMM")</f>
        <v>Feb</v>
      </c>
      <c r="M305">
        <f>MONTH(table1[[#This Row],[Date]])</f>
        <v>2</v>
      </c>
      <c r="N305" t="str">
        <f>TEXT(table1[[#This Row],[Date]],"ddd")</f>
        <v>Thu</v>
      </c>
      <c r="O305" s="2">
        <f>table1[[#This Row],[Credit]]-table1[[#This Row],[Debit]]</f>
        <v>-5</v>
      </c>
    </row>
    <row r="306" spans="5:15" x14ac:dyDescent="0.25">
      <c r="E306" s="1">
        <v>44246</v>
      </c>
      <c r="F306" t="s">
        <v>15</v>
      </c>
      <c r="G306" s="2">
        <v>5</v>
      </c>
      <c r="H306" s="2"/>
      <c r="I306" t="s">
        <v>16</v>
      </c>
      <c r="J306" t="s">
        <v>17</v>
      </c>
      <c r="K306" t="s">
        <v>18</v>
      </c>
      <c r="L306" t="str">
        <f>TEXT(table1[[#This Row],[Date]],"MMM")</f>
        <v>Feb</v>
      </c>
      <c r="M306">
        <f>MONTH(table1[[#This Row],[Date]])</f>
        <v>2</v>
      </c>
      <c r="N306" t="str">
        <f>TEXT(table1[[#This Row],[Date]],"ddd")</f>
        <v>Fri</v>
      </c>
      <c r="O306" s="2">
        <f>table1[[#This Row],[Credit]]-table1[[#This Row],[Debit]]</f>
        <v>-5</v>
      </c>
    </row>
    <row r="307" spans="5:15" x14ac:dyDescent="0.25">
      <c r="E307" s="1">
        <v>44249</v>
      </c>
      <c r="F307" t="s">
        <v>15</v>
      </c>
      <c r="G307" s="2">
        <v>5</v>
      </c>
      <c r="H307" s="2"/>
      <c r="I307" t="s">
        <v>16</v>
      </c>
      <c r="J307" t="s">
        <v>17</v>
      </c>
      <c r="K307" t="s">
        <v>18</v>
      </c>
      <c r="L307" t="str">
        <f>TEXT(table1[[#This Row],[Date]],"MMM")</f>
        <v>Feb</v>
      </c>
      <c r="M307">
        <f>MONTH(table1[[#This Row],[Date]])</f>
        <v>2</v>
      </c>
      <c r="N307" t="str">
        <f>TEXT(table1[[#This Row],[Date]],"ddd")</f>
        <v>Mon</v>
      </c>
      <c r="O307" s="2">
        <f>table1[[#This Row],[Credit]]-table1[[#This Row],[Debit]]</f>
        <v>-5</v>
      </c>
    </row>
    <row r="308" spans="5:15" x14ac:dyDescent="0.25">
      <c r="E308" s="1">
        <v>44250</v>
      </c>
      <c r="F308" t="s">
        <v>15</v>
      </c>
      <c r="G308" s="2">
        <v>5</v>
      </c>
      <c r="H308" s="2"/>
      <c r="I308" t="s">
        <v>16</v>
      </c>
      <c r="J308" t="s">
        <v>17</v>
      </c>
      <c r="K308" t="s">
        <v>18</v>
      </c>
      <c r="L308" t="str">
        <f>TEXT(table1[[#This Row],[Date]],"MMM")</f>
        <v>Feb</v>
      </c>
      <c r="M308">
        <f>MONTH(table1[[#This Row],[Date]])</f>
        <v>2</v>
      </c>
      <c r="N308" t="str">
        <f>TEXT(table1[[#This Row],[Date]],"ddd")</f>
        <v>Tue</v>
      </c>
      <c r="O308" s="2">
        <f>table1[[#This Row],[Credit]]-table1[[#This Row],[Debit]]</f>
        <v>-5</v>
      </c>
    </row>
    <row r="309" spans="5:15" x14ac:dyDescent="0.25">
      <c r="E309" s="1">
        <v>44251</v>
      </c>
      <c r="F309" t="s">
        <v>15</v>
      </c>
      <c r="G309" s="2">
        <v>5</v>
      </c>
      <c r="H309" s="2"/>
      <c r="I309" t="s">
        <v>16</v>
      </c>
      <c r="J309" t="s">
        <v>17</v>
      </c>
      <c r="K309" t="s">
        <v>18</v>
      </c>
      <c r="L309" t="str">
        <f>TEXT(table1[[#This Row],[Date]],"MMM")</f>
        <v>Feb</v>
      </c>
      <c r="M309">
        <f>MONTH(table1[[#This Row],[Date]])</f>
        <v>2</v>
      </c>
      <c r="N309" t="str">
        <f>TEXT(table1[[#This Row],[Date]],"ddd")</f>
        <v>Wed</v>
      </c>
      <c r="O309" s="2">
        <f>table1[[#This Row],[Credit]]-table1[[#This Row],[Debit]]</f>
        <v>-5</v>
      </c>
    </row>
    <row r="310" spans="5:15" x14ac:dyDescent="0.25">
      <c r="E310" s="1">
        <v>44252</v>
      </c>
      <c r="F310" t="s">
        <v>15</v>
      </c>
      <c r="G310" s="2">
        <v>5</v>
      </c>
      <c r="H310" s="2"/>
      <c r="I310" t="s">
        <v>16</v>
      </c>
      <c r="J310" t="s">
        <v>17</v>
      </c>
      <c r="K310" t="s">
        <v>18</v>
      </c>
      <c r="L310" t="str">
        <f>TEXT(table1[[#This Row],[Date]],"MMM")</f>
        <v>Feb</v>
      </c>
      <c r="M310">
        <f>MONTH(table1[[#This Row],[Date]])</f>
        <v>2</v>
      </c>
      <c r="N310" t="str">
        <f>TEXT(table1[[#This Row],[Date]],"ddd")</f>
        <v>Thu</v>
      </c>
      <c r="O310" s="2">
        <f>table1[[#This Row],[Credit]]-table1[[#This Row],[Debit]]</f>
        <v>-5</v>
      </c>
    </row>
    <row r="311" spans="5:15" x14ac:dyDescent="0.25">
      <c r="E311" s="1">
        <v>44253</v>
      </c>
      <c r="F311" t="s">
        <v>15</v>
      </c>
      <c r="G311" s="2">
        <v>5</v>
      </c>
      <c r="H311" s="2"/>
      <c r="I311" t="s">
        <v>16</v>
      </c>
      <c r="J311" t="s">
        <v>17</v>
      </c>
      <c r="K311" t="s">
        <v>18</v>
      </c>
      <c r="L311" t="str">
        <f>TEXT(table1[[#This Row],[Date]],"MMM")</f>
        <v>Feb</v>
      </c>
      <c r="M311">
        <f>MONTH(table1[[#This Row],[Date]])</f>
        <v>2</v>
      </c>
      <c r="N311" t="str">
        <f>TEXT(table1[[#This Row],[Date]],"ddd")</f>
        <v>Fri</v>
      </c>
      <c r="O311" s="2">
        <f>table1[[#This Row],[Credit]]-table1[[#This Row],[Debit]]</f>
        <v>-5</v>
      </c>
    </row>
    <row r="312" spans="5:15" x14ac:dyDescent="0.25">
      <c r="E312" s="1">
        <v>44256</v>
      </c>
      <c r="F312" t="s">
        <v>15</v>
      </c>
      <c r="G312" s="2">
        <v>5</v>
      </c>
      <c r="H312" s="2"/>
      <c r="I312" t="s">
        <v>16</v>
      </c>
      <c r="J312" t="s">
        <v>17</v>
      </c>
      <c r="K312" t="s">
        <v>18</v>
      </c>
      <c r="L312" t="str">
        <f>TEXT(table1[[#This Row],[Date]],"MMM")</f>
        <v>Mar</v>
      </c>
      <c r="M312">
        <f>MONTH(table1[[#This Row],[Date]])</f>
        <v>3</v>
      </c>
      <c r="N312" t="str">
        <f>TEXT(table1[[#This Row],[Date]],"ddd")</f>
        <v>Mon</v>
      </c>
      <c r="O312" s="2">
        <f>table1[[#This Row],[Credit]]-table1[[#This Row],[Debit]]</f>
        <v>-5</v>
      </c>
    </row>
    <row r="313" spans="5:15" x14ac:dyDescent="0.25">
      <c r="E313" s="1">
        <v>44257</v>
      </c>
      <c r="F313" t="s">
        <v>15</v>
      </c>
      <c r="G313" s="2">
        <v>5</v>
      </c>
      <c r="H313" s="2"/>
      <c r="I313" t="s">
        <v>16</v>
      </c>
      <c r="J313" t="s">
        <v>17</v>
      </c>
      <c r="K313" t="s">
        <v>18</v>
      </c>
      <c r="L313" t="str">
        <f>TEXT(table1[[#This Row],[Date]],"MMM")</f>
        <v>Mar</v>
      </c>
      <c r="M313">
        <f>MONTH(table1[[#This Row],[Date]])</f>
        <v>3</v>
      </c>
      <c r="N313" t="str">
        <f>TEXT(table1[[#This Row],[Date]],"ddd")</f>
        <v>Tue</v>
      </c>
      <c r="O313" s="2">
        <f>table1[[#This Row],[Credit]]-table1[[#This Row],[Debit]]</f>
        <v>-5</v>
      </c>
    </row>
    <row r="314" spans="5:15" x14ac:dyDescent="0.25">
      <c r="E314" s="1">
        <v>44258</v>
      </c>
      <c r="F314" t="s">
        <v>15</v>
      </c>
      <c r="G314" s="2">
        <v>5</v>
      </c>
      <c r="H314" s="2"/>
      <c r="I314" t="s">
        <v>16</v>
      </c>
      <c r="J314" t="s">
        <v>17</v>
      </c>
      <c r="K314" t="s">
        <v>18</v>
      </c>
      <c r="L314" t="str">
        <f>TEXT(table1[[#This Row],[Date]],"MMM")</f>
        <v>Mar</v>
      </c>
      <c r="M314">
        <f>MONTH(table1[[#This Row],[Date]])</f>
        <v>3</v>
      </c>
      <c r="N314" t="str">
        <f>TEXT(table1[[#This Row],[Date]],"ddd")</f>
        <v>Wed</v>
      </c>
      <c r="O314" s="2">
        <f>table1[[#This Row],[Credit]]-table1[[#This Row],[Debit]]</f>
        <v>-5</v>
      </c>
    </row>
    <row r="315" spans="5:15" x14ac:dyDescent="0.25">
      <c r="E315" s="1">
        <v>44259</v>
      </c>
      <c r="F315" t="s">
        <v>15</v>
      </c>
      <c r="G315" s="2">
        <v>5</v>
      </c>
      <c r="H315" s="2"/>
      <c r="I315" t="s">
        <v>16</v>
      </c>
      <c r="J315" t="s">
        <v>17</v>
      </c>
      <c r="K315" t="s">
        <v>18</v>
      </c>
      <c r="L315" t="str">
        <f>TEXT(table1[[#This Row],[Date]],"MMM")</f>
        <v>Mar</v>
      </c>
      <c r="M315">
        <f>MONTH(table1[[#This Row],[Date]])</f>
        <v>3</v>
      </c>
      <c r="N315" t="str">
        <f>TEXT(table1[[#This Row],[Date]],"ddd")</f>
        <v>Thu</v>
      </c>
      <c r="O315" s="2">
        <f>table1[[#This Row],[Credit]]-table1[[#This Row],[Debit]]</f>
        <v>-5</v>
      </c>
    </row>
    <row r="316" spans="5:15" x14ac:dyDescent="0.25">
      <c r="E316" s="1">
        <v>44260</v>
      </c>
      <c r="F316" t="s">
        <v>15</v>
      </c>
      <c r="G316" s="2">
        <v>5</v>
      </c>
      <c r="H316" s="2"/>
      <c r="I316" t="s">
        <v>16</v>
      </c>
      <c r="J316" t="s">
        <v>17</v>
      </c>
      <c r="K316" t="s">
        <v>18</v>
      </c>
      <c r="L316" t="str">
        <f>TEXT(table1[[#This Row],[Date]],"MMM")</f>
        <v>Mar</v>
      </c>
      <c r="M316">
        <f>MONTH(table1[[#This Row],[Date]])</f>
        <v>3</v>
      </c>
      <c r="N316" t="str">
        <f>TEXT(table1[[#This Row],[Date]],"ddd")</f>
        <v>Fri</v>
      </c>
      <c r="O316" s="2">
        <f>table1[[#This Row],[Credit]]-table1[[#This Row],[Debit]]</f>
        <v>-5</v>
      </c>
    </row>
    <row r="317" spans="5:15" x14ac:dyDescent="0.25">
      <c r="E317" s="1">
        <v>44263</v>
      </c>
      <c r="F317" t="s">
        <v>15</v>
      </c>
      <c r="G317" s="2">
        <v>5</v>
      </c>
      <c r="H317" s="2"/>
      <c r="I317" t="s">
        <v>16</v>
      </c>
      <c r="J317" t="s">
        <v>17</v>
      </c>
      <c r="K317" t="s">
        <v>18</v>
      </c>
      <c r="L317" t="str">
        <f>TEXT(table1[[#This Row],[Date]],"MMM")</f>
        <v>Mar</v>
      </c>
      <c r="M317">
        <f>MONTH(table1[[#This Row],[Date]])</f>
        <v>3</v>
      </c>
      <c r="N317" t="str">
        <f>TEXT(table1[[#This Row],[Date]],"ddd")</f>
        <v>Mon</v>
      </c>
      <c r="O317" s="2">
        <f>table1[[#This Row],[Credit]]-table1[[#This Row],[Debit]]</f>
        <v>-5</v>
      </c>
    </row>
    <row r="318" spans="5:15" x14ac:dyDescent="0.25">
      <c r="E318" s="1">
        <v>44264</v>
      </c>
      <c r="F318" t="s">
        <v>15</v>
      </c>
      <c r="G318" s="2">
        <v>5</v>
      </c>
      <c r="H318" s="2"/>
      <c r="I318" t="s">
        <v>16</v>
      </c>
      <c r="J318" t="s">
        <v>17</v>
      </c>
      <c r="K318" t="s">
        <v>18</v>
      </c>
      <c r="L318" t="str">
        <f>TEXT(table1[[#This Row],[Date]],"MMM")</f>
        <v>Mar</v>
      </c>
      <c r="M318">
        <f>MONTH(table1[[#This Row],[Date]])</f>
        <v>3</v>
      </c>
      <c r="N318" t="str">
        <f>TEXT(table1[[#This Row],[Date]],"ddd")</f>
        <v>Tue</v>
      </c>
      <c r="O318" s="2">
        <f>table1[[#This Row],[Credit]]-table1[[#This Row],[Debit]]</f>
        <v>-5</v>
      </c>
    </row>
    <row r="319" spans="5:15" x14ac:dyDescent="0.25">
      <c r="E319" s="1">
        <v>44265</v>
      </c>
      <c r="F319" t="s">
        <v>15</v>
      </c>
      <c r="G319" s="2">
        <v>5</v>
      </c>
      <c r="H319" s="2"/>
      <c r="I319" t="s">
        <v>16</v>
      </c>
      <c r="J319" t="s">
        <v>17</v>
      </c>
      <c r="K319" t="s">
        <v>18</v>
      </c>
      <c r="L319" t="str">
        <f>TEXT(table1[[#This Row],[Date]],"MMM")</f>
        <v>Mar</v>
      </c>
      <c r="M319">
        <f>MONTH(table1[[#This Row],[Date]])</f>
        <v>3</v>
      </c>
      <c r="N319" t="str">
        <f>TEXT(table1[[#This Row],[Date]],"ddd")</f>
        <v>Wed</v>
      </c>
      <c r="O319" s="2">
        <f>table1[[#This Row],[Credit]]-table1[[#This Row],[Debit]]</f>
        <v>-5</v>
      </c>
    </row>
    <row r="320" spans="5:15" x14ac:dyDescent="0.25">
      <c r="E320" s="1">
        <v>44266</v>
      </c>
      <c r="F320" t="s">
        <v>15</v>
      </c>
      <c r="G320" s="2">
        <v>5</v>
      </c>
      <c r="H320" s="2"/>
      <c r="I320" t="s">
        <v>16</v>
      </c>
      <c r="J320" t="s">
        <v>17</v>
      </c>
      <c r="K320" t="s">
        <v>18</v>
      </c>
      <c r="L320" t="str">
        <f>TEXT(table1[[#This Row],[Date]],"MMM")</f>
        <v>Mar</v>
      </c>
      <c r="M320">
        <f>MONTH(table1[[#This Row],[Date]])</f>
        <v>3</v>
      </c>
      <c r="N320" t="str">
        <f>TEXT(table1[[#This Row],[Date]],"ddd")</f>
        <v>Thu</v>
      </c>
      <c r="O320" s="2">
        <f>table1[[#This Row],[Credit]]-table1[[#This Row],[Debit]]</f>
        <v>-5</v>
      </c>
    </row>
    <row r="321" spans="5:15" x14ac:dyDescent="0.25">
      <c r="E321" s="1">
        <v>44267</v>
      </c>
      <c r="F321" t="s">
        <v>15</v>
      </c>
      <c r="G321" s="2">
        <v>5</v>
      </c>
      <c r="H321" s="2"/>
      <c r="I321" t="s">
        <v>16</v>
      </c>
      <c r="J321" t="s">
        <v>17</v>
      </c>
      <c r="K321" t="s">
        <v>18</v>
      </c>
      <c r="L321" t="str">
        <f>TEXT(table1[[#This Row],[Date]],"MMM")</f>
        <v>Mar</v>
      </c>
      <c r="M321">
        <f>MONTH(table1[[#This Row],[Date]])</f>
        <v>3</v>
      </c>
      <c r="N321" t="str">
        <f>TEXT(table1[[#This Row],[Date]],"ddd")</f>
        <v>Fri</v>
      </c>
      <c r="O321" s="2">
        <f>table1[[#This Row],[Credit]]-table1[[#This Row],[Debit]]</f>
        <v>-5</v>
      </c>
    </row>
    <row r="322" spans="5:15" x14ac:dyDescent="0.25">
      <c r="E322" s="1">
        <v>44268</v>
      </c>
      <c r="F322" t="s">
        <v>15</v>
      </c>
      <c r="G322" s="2">
        <v>5</v>
      </c>
      <c r="H322" s="2"/>
      <c r="I322" t="s">
        <v>16</v>
      </c>
      <c r="J322" t="s">
        <v>17</v>
      </c>
      <c r="K322" t="s">
        <v>18</v>
      </c>
      <c r="L322" t="str">
        <f>TEXT(table1[[#This Row],[Date]],"MMM")</f>
        <v>Mar</v>
      </c>
      <c r="M322">
        <f>MONTH(table1[[#This Row],[Date]])</f>
        <v>3</v>
      </c>
      <c r="N322" t="str">
        <f>TEXT(table1[[#This Row],[Date]],"ddd")</f>
        <v>Sat</v>
      </c>
      <c r="O322" s="2">
        <f>table1[[#This Row],[Credit]]-table1[[#This Row],[Debit]]</f>
        <v>-5</v>
      </c>
    </row>
    <row r="323" spans="5:15" x14ac:dyDescent="0.25">
      <c r="E323" s="1">
        <v>44270</v>
      </c>
      <c r="F323" t="s">
        <v>15</v>
      </c>
      <c r="G323" s="2">
        <v>5</v>
      </c>
      <c r="H323" s="2"/>
      <c r="I323" t="s">
        <v>16</v>
      </c>
      <c r="J323" t="s">
        <v>17</v>
      </c>
      <c r="K323" t="s">
        <v>18</v>
      </c>
      <c r="L323" t="str">
        <f>TEXT(table1[[#This Row],[Date]],"MMM")</f>
        <v>Mar</v>
      </c>
      <c r="M323">
        <f>MONTH(table1[[#This Row],[Date]])</f>
        <v>3</v>
      </c>
      <c r="N323" t="str">
        <f>TEXT(table1[[#This Row],[Date]],"ddd")</f>
        <v>Mon</v>
      </c>
      <c r="O323" s="2">
        <f>table1[[#This Row],[Credit]]-table1[[#This Row],[Debit]]</f>
        <v>-5</v>
      </c>
    </row>
    <row r="324" spans="5:15" x14ac:dyDescent="0.25">
      <c r="E324" s="1">
        <v>44271</v>
      </c>
      <c r="F324" t="s">
        <v>15</v>
      </c>
      <c r="G324" s="2">
        <v>5</v>
      </c>
      <c r="H324" s="2"/>
      <c r="I324" t="s">
        <v>16</v>
      </c>
      <c r="J324" t="s">
        <v>17</v>
      </c>
      <c r="K324" t="s">
        <v>18</v>
      </c>
      <c r="L324" t="str">
        <f>TEXT(table1[[#This Row],[Date]],"MMM")</f>
        <v>Mar</v>
      </c>
      <c r="M324">
        <f>MONTH(table1[[#This Row],[Date]])</f>
        <v>3</v>
      </c>
      <c r="N324" t="str">
        <f>TEXT(table1[[#This Row],[Date]],"ddd")</f>
        <v>Tue</v>
      </c>
      <c r="O324" s="2">
        <f>table1[[#This Row],[Credit]]-table1[[#This Row],[Debit]]</f>
        <v>-5</v>
      </c>
    </row>
    <row r="325" spans="5:15" x14ac:dyDescent="0.25">
      <c r="E325" s="1">
        <v>44272</v>
      </c>
      <c r="F325" t="s">
        <v>15</v>
      </c>
      <c r="G325" s="2">
        <v>5</v>
      </c>
      <c r="H325" s="2"/>
      <c r="I325" t="s">
        <v>16</v>
      </c>
      <c r="J325" t="s">
        <v>17</v>
      </c>
      <c r="K325" t="s">
        <v>18</v>
      </c>
      <c r="L325" t="str">
        <f>TEXT(table1[[#This Row],[Date]],"MMM")</f>
        <v>Mar</v>
      </c>
      <c r="M325">
        <f>MONTH(table1[[#This Row],[Date]])</f>
        <v>3</v>
      </c>
      <c r="N325" t="str">
        <f>TEXT(table1[[#This Row],[Date]],"ddd")</f>
        <v>Wed</v>
      </c>
      <c r="O325" s="2">
        <f>table1[[#This Row],[Credit]]-table1[[#This Row],[Debit]]</f>
        <v>-5</v>
      </c>
    </row>
    <row r="326" spans="5:15" x14ac:dyDescent="0.25">
      <c r="E326" s="1">
        <v>44273</v>
      </c>
      <c r="F326" t="s">
        <v>15</v>
      </c>
      <c r="G326" s="2">
        <v>5</v>
      </c>
      <c r="H326" s="2"/>
      <c r="I326" t="s">
        <v>16</v>
      </c>
      <c r="J326" t="s">
        <v>17</v>
      </c>
      <c r="K326" t="s">
        <v>18</v>
      </c>
      <c r="L326" t="str">
        <f>TEXT(table1[[#This Row],[Date]],"MMM")</f>
        <v>Mar</v>
      </c>
      <c r="M326">
        <f>MONTH(table1[[#This Row],[Date]])</f>
        <v>3</v>
      </c>
      <c r="N326" t="str">
        <f>TEXT(table1[[#This Row],[Date]],"ddd")</f>
        <v>Thu</v>
      </c>
      <c r="O326" s="2">
        <f>table1[[#This Row],[Credit]]-table1[[#This Row],[Debit]]</f>
        <v>-5</v>
      </c>
    </row>
    <row r="327" spans="5:15" x14ac:dyDescent="0.25">
      <c r="E327" s="1">
        <v>44274</v>
      </c>
      <c r="F327" t="s">
        <v>15</v>
      </c>
      <c r="G327" s="2">
        <v>5</v>
      </c>
      <c r="H327" s="2"/>
      <c r="I327" t="s">
        <v>16</v>
      </c>
      <c r="J327" t="s">
        <v>17</v>
      </c>
      <c r="K327" t="s">
        <v>18</v>
      </c>
      <c r="L327" t="str">
        <f>TEXT(table1[[#This Row],[Date]],"MMM")</f>
        <v>Mar</v>
      </c>
      <c r="M327">
        <f>MONTH(table1[[#This Row],[Date]])</f>
        <v>3</v>
      </c>
      <c r="N327" t="str">
        <f>TEXT(table1[[#This Row],[Date]],"ddd")</f>
        <v>Fri</v>
      </c>
      <c r="O327" s="2">
        <f>table1[[#This Row],[Credit]]-table1[[#This Row],[Debit]]</f>
        <v>-5</v>
      </c>
    </row>
    <row r="328" spans="5:15" x14ac:dyDescent="0.25">
      <c r="E328" s="1">
        <v>44277</v>
      </c>
      <c r="F328" t="s">
        <v>15</v>
      </c>
      <c r="G328" s="2">
        <v>5</v>
      </c>
      <c r="H328" s="2"/>
      <c r="I328" t="s">
        <v>16</v>
      </c>
      <c r="J328" t="s">
        <v>17</v>
      </c>
      <c r="K328" t="s">
        <v>18</v>
      </c>
      <c r="L328" t="str">
        <f>TEXT(table1[[#This Row],[Date]],"MMM")</f>
        <v>Mar</v>
      </c>
      <c r="M328">
        <f>MONTH(table1[[#This Row],[Date]])</f>
        <v>3</v>
      </c>
      <c r="N328" t="str">
        <f>TEXT(table1[[#This Row],[Date]],"ddd")</f>
        <v>Mon</v>
      </c>
      <c r="O328" s="2">
        <f>table1[[#This Row],[Credit]]-table1[[#This Row],[Debit]]</f>
        <v>-5</v>
      </c>
    </row>
    <row r="329" spans="5:15" x14ac:dyDescent="0.25">
      <c r="E329" s="1">
        <v>44278</v>
      </c>
      <c r="F329" t="s">
        <v>15</v>
      </c>
      <c r="G329" s="2">
        <v>5</v>
      </c>
      <c r="H329" s="2"/>
      <c r="I329" t="s">
        <v>16</v>
      </c>
      <c r="J329" t="s">
        <v>17</v>
      </c>
      <c r="K329" t="s">
        <v>18</v>
      </c>
      <c r="L329" t="str">
        <f>TEXT(table1[[#This Row],[Date]],"MMM")</f>
        <v>Mar</v>
      </c>
      <c r="M329">
        <f>MONTH(table1[[#This Row],[Date]])</f>
        <v>3</v>
      </c>
      <c r="N329" t="str">
        <f>TEXT(table1[[#This Row],[Date]],"ddd")</f>
        <v>Tue</v>
      </c>
      <c r="O329" s="2">
        <f>table1[[#This Row],[Credit]]-table1[[#This Row],[Debit]]</f>
        <v>-5</v>
      </c>
    </row>
    <row r="330" spans="5:15" x14ac:dyDescent="0.25">
      <c r="E330" s="1">
        <v>44279</v>
      </c>
      <c r="F330" t="s">
        <v>15</v>
      </c>
      <c r="G330" s="2">
        <v>5</v>
      </c>
      <c r="H330" s="2"/>
      <c r="I330" t="s">
        <v>16</v>
      </c>
      <c r="J330" t="s">
        <v>17</v>
      </c>
      <c r="K330" t="s">
        <v>18</v>
      </c>
      <c r="L330" t="str">
        <f>TEXT(table1[[#This Row],[Date]],"MMM")</f>
        <v>Mar</v>
      </c>
      <c r="M330">
        <f>MONTH(table1[[#This Row],[Date]])</f>
        <v>3</v>
      </c>
      <c r="N330" t="str">
        <f>TEXT(table1[[#This Row],[Date]],"ddd")</f>
        <v>Wed</v>
      </c>
      <c r="O330" s="2">
        <f>table1[[#This Row],[Credit]]-table1[[#This Row],[Debit]]</f>
        <v>-5</v>
      </c>
    </row>
    <row r="331" spans="5:15" x14ac:dyDescent="0.25">
      <c r="E331" s="1">
        <v>44280</v>
      </c>
      <c r="F331" t="s">
        <v>15</v>
      </c>
      <c r="G331" s="2">
        <v>5</v>
      </c>
      <c r="H331" s="2"/>
      <c r="I331" t="s">
        <v>16</v>
      </c>
      <c r="J331" t="s">
        <v>17</v>
      </c>
      <c r="K331" t="s">
        <v>18</v>
      </c>
      <c r="L331" t="str">
        <f>TEXT(table1[[#This Row],[Date]],"MMM")</f>
        <v>Mar</v>
      </c>
      <c r="M331">
        <f>MONTH(table1[[#This Row],[Date]])</f>
        <v>3</v>
      </c>
      <c r="N331" t="str">
        <f>TEXT(table1[[#This Row],[Date]],"ddd")</f>
        <v>Thu</v>
      </c>
      <c r="O331" s="2">
        <f>table1[[#This Row],[Credit]]-table1[[#This Row],[Debit]]</f>
        <v>-5</v>
      </c>
    </row>
    <row r="332" spans="5:15" x14ac:dyDescent="0.25">
      <c r="E332" s="1">
        <v>44281</v>
      </c>
      <c r="F332" t="s">
        <v>15</v>
      </c>
      <c r="G332" s="2">
        <v>5</v>
      </c>
      <c r="H332" s="2"/>
      <c r="I332" t="s">
        <v>16</v>
      </c>
      <c r="J332" t="s">
        <v>17</v>
      </c>
      <c r="K332" t="s">
        <v>18</v>
      </c>
      <c r="L332" t="str">
        <f>TEXT(table1[[#This Row],[Date]],"MMM")</f>
        <v>Mar</v>
      </c>
      <c r="M332">
        <f>MONTH(table1[[#This Row],[Date]])</f>
        <v>3</v>
      </c>
      <c r="N332" t="str">
        <f>TEXT(table1[[#This Row],[Date]],"ddd")</f>
        <v>Fri</v>
      </c>
      <c r="O332" s="2">
        <f>table1[[#This Row],[Credit]]-table1[[#This Row],[Debit]]</f>
        <v>-5</v>
      </c>
    </row>
    <row r="333" spans="5:15" x14ac:dyDescent="0.25">
      <c r="E333" s="1">
        <v>44285</v>
      </c>
      <c r="F333" t="s">
        <v>15</v>
      </c>
      <c r="G333" s="2">
        <v>5</v>
      </c>
      <c r="H333" s="2"/>
      <c r="I333" t="s">
        <v>16</v>
      </c>
      <c r="J333" t="s">
        <v>17</v>
      </c>
      <c r="K333" t="s">
        <v>18</v>
      </c>
      <c r="L333" t="str">
        <f>TEXT(table1[[#This Row],[Date]],"MMM")</f>
        <v>Mar</v>
      </c>
      <c r="M333">
        <f>MONTH(table1[[#This Row],[Date]])</f>
        <v>3</v>
      </c>
      <c r="N333" t="str">
        <f>TEXT(table1[[#This Row],[Date]],"ddd")</f>
        <v>Tue</v>
      </c>
      <c r="O333" s="2">
        <f>table1[[#This Row],[Credit]]-table1[[#This Row],[Debit]]</f>
        <v>-5</v>
      </c>
    </row>
    <row r="334" spans="5:15" x14ac:dyDescent="0.25">
      <c r="E334" s="1">
        <v>44286</v>
      </c>
      <c r="F334" t="s">
        <v>15</v>
      </c>
      <c r="G334" s="2">
        <v>5</v>
      </c>
      <c r="H334" s="2"/>
      <c r="I334" t="s">
        <v>16</v>
      </c>
      <c r="J334" t="s">
        <v>17</v>
      </c>
      <c r="K334" t="s">
        <v>18</v>
      </c>
      <c r="L334" t="str">
        <f>TEXT(table1[[#This Row],[Date]],"MMM")</f>
        <v>Mar</v>
      </c>
      <c r="M334">
        <f>MONTH(table1[[#This Row],[Date]])</f>
        <v>3</v>
      </c>
      <c r="N334" t="str">
        <f>TEXT(table1[[#This Row],[Date]],"ddd")</f>
        <v>Wed</v>
      </c>
      <c r="O334" s="2">
        <f>table1[[#This Row],[Credit]]-table1[[#This Row],[Debit]]</f>
        <v>-5</v>
      </c>
    </row>
    <row r="335" spans="5:15" x14ac:dyDescent="0.25">
      <c r="E335" s="1">
        <v>44287</v>
      </c>
      <c r="F335" t="s">
        <v>15</v>
      </c>
      <c r="G335" s="2">
        <v>5</v>
      </c>
      <c r="H335" s="2"/>
      <c r="I335" t="s">
        <v>16</v>
      </c>
      <c r="J335" t="s">
        <v>17</v>
      </c>
      <c r="K335" t="s">
        <v>18</v>
      </c>
      <c r="L335" t="str">
        <f>TEXT(table1[[#This Row],[Date]],"MMM")</f>
        <v>Apr</v>
      </c>
      <c r="M335">
        <f>MONTH(table1[[#This Row],[Date]])</f>
        <v>4</v>
      </c>
      <c r="N335" t="str">
        <f>TEXT(table1[[#This Row],[Date]],"ddd")</f>
        <v>Thu</v>
      </c>
      <c r="O335" s="2">
        <f>table1[[#This Row],[Credit]]-table1[[#This Row],[Debit]]</f>
        <v>-5</v>
      </c>
    </row>
    <row r="336" spans="5:15" x14ac:dyDescent="0.25">
      <c r="E336" s="1">
        <v>44288</v>
      </c>
      <c r="F336" t="s">
        <v>15</v>
      </c>
      <c r="G336" s="2">
        <v>5</v>
      </c>
      <c r="H336" s="2"/>
      <c r="I336" t="s">
        <v>16</v>
      </c>
      <c r="J336" t="s">
        <v>17</v>
      </c>
      <c r="K336" t="s">
        <v>18</v>
      </c>
      <c r="L336" t="str">
        <f>TEXT(table1[[#This Row],[Date]],"MMM")</f>
        <v>Apr</v>
      </c>
      <c r="M336">
        <f>MONTH(table1[[#This Row],[Date]])</f>
        <v>4</v>
      </c>
      <c r="N336" t="str">
        <f>TEXT(table1[[#This Row],[Date]],"ddd")</f>
        <v>Fri</v>
      </c>
      <c r="O336" s="2">
        <f>table1[[#This Row],[Credit]]-table1[[#This Row],[Debit]]</f>
        <v>-5</v>
      </c>
    </row>
    <row r="337" spans="5:15" x14ac:dyDescent="0.25">
      <c r="E337" s="1">
        <v>44289</v>
      </c>
      <c r="F337" t="s">
        <v>15</v>
      </c>
      <c r="G337" s="2">
        <v>5</v>
      </c>
      <c r="H337" s="2"/>
      <c r="I337" t="s">
        <v>16</v>
      </c>
      <c r="J337" t="s">
        <v>17</v>
      </c>
      <c r="K337" t="s">
        <v>18</v>
      </c>
      <c r="L337" t="str">
        <f>TEXT(table1[[#This Row],[Date]],"MMM")</f>
        <v>Apr</v>
      </c>
      <c r="M337">
        <f>MONTH(table1[[#This Row],[Date]])</f>
        <v>4</v>
      </c>
      <c r="N337" t="str">
        <f>TEXT(table1[[#This Row],[Date]],"ddd")</f>
        <v>Sat</v>
      </c>
      <c r="O337" s="2">
        <f>table1[[#This Row],[Credit]]-table1[[#This Row],[Debit]]</f>
        <v>-5</v>
      </c>
    </row>
    <row r="338" spans="5:15" x14ac:dyDescent="0.25">
      <c r="E338" s="1">
        <v>44290</v>
      </c>
      <c r="F338" t="s">
        <v>15</v>
      </c>
      <c r="G338" s="2">
        <v>5</v>
      </c>
      <c r="H338" s="2"/>
      <c r="I338" t="s">
        <v>16</v>
      </c>
      <c r="J338" t="s">
        <v>17</v>
      </c>
      <c r="K338" t="s">
        <v>18</v>
      </c>
      <c r="L338" t="str">
        <f>TEXT(table1[[#This Row],[Date]],"MMM")</f>
        <v>Apr</v>
      </c>
      <c r="M338">
        <f>MONTH(table1[[#This Row],[Date]])</f>
        <v>4</v>
      </c>
      <c r="N338" t="str">
        <f>TEXT(table1[[#This Row],[Date]],"ddd")</f>
        <v>Sun</v>
      </c>
      <c r="O338" s="2">
        <f>table1[[#This Row],[Credit]]-table1[[#This Row],[Debit]]</f>
        <v>-5</v>
      </c>
    </row>
    <row r="339" spans="5:15" x14ac:dyDescent="0.25">
      <c r="E339" s="1">
        <v>44291</v>
      </c>
      <c r="F339" t="s">
        <v>15</v>
      </c>
      <c r="G339" s="2">
        <v>5</v>
      </c>
      <c r="H339" s="2"/>
      <c r="I339" t="s">
        <v>16</v>
      </c>
      <c r="J339" t="s">
        <v>17</v>
      </c>
      <c r="K339" t="s">
        <v>18</v>
      </c>
      <c r="L339" t="str">
        <f>TEXT(table1[[#This Row],[Date]],"MMM")</f>
        <v>Apr</v>
      </c>
      <c r="M339">
        <f>MONTH(table1[[#This Row],[Date]])</f>
        <v>4</v>
      </c>
      <c r="N339" t="str">
        <f>TEXT(table1[[#This Row],[Date]],"ddd")</f>
        <v>Mon</v>
      </c>
      <c r="O339" s="2">
        <f>table1[[#This Row],[Credit]]-table1[[#This Row],[Debit]]</f>
        <v>-5</v>
      </c>
    </row>
    <row r="340" spans="5:15" x14ac:dyDescent="0.25">
      <c r="E340" s="1">
        <v>44294</v>
      </c>
      <c r="F340" t="s">
        <v>15</v>
      </c>
      <c r="G340" s="2">
        <v>5</v>
      </c>
      <c r="H340" s="2"/>
      <c r="I340" t="s">
        <v>16</v>
      </c>
      <c r="J340" t="s">
        <v>17</v>
      </c>
      <c r="K340" t="s">
        <v>18</v>
      </c>
      <c r="L340" t="str">
        <f>TEXT(table1[[#This Row],[Date]],"MMM")</f>
        <v>Apr</v>
      </c>
      <c r="M340">
        <f>MONTH(table1[[#This Row],[Date]])</f>
        <v>4</v>
      </c>
      <c r="N340" t="str">
        <f>TEXT(table1[[#This Row],[Date]],"ddd")</f>
        <v>Thu</v>
      </c>
      <c r="O340" s="2">
        <f>table1[[#This Row],[Credit]]-table1[[#This Row],[Debit]]</f>
        <v>-5</v>
      </c>
    </row>
    <row r="341" spans="5:15" x14ac:dyDescent="0.25">
      <c r="E341" s="1">
        <v>44295</v>
      </c>
      <c r="F341" t="s">
        <v>15</v>
      </c>
      <c r="G341" s="2">
        <v>5</v>
      </c>
      <c r="H341" s="2"/>
      <c r="I341" t="s">
        <v>16</v>
      </c>
      <c r="J341" t="s">
        <v>17</v>
      </c>
      <c r="K341" t="s">
        <v>18</v>
      </c>
      <c r="L341" t="str">
        <f>TEXT(table1[[#This Row],[Date]],"MMM")</f>
        <v>Apr</v>
      </c>
      <c r="M341">
        <f>MONTH(table1[[#This Row],[Date]])</f>
        <v>4</v>
      </c>
      <c r="N341" t="str">
        <f>TEXT(table1[[#This Row],[Date]],"ddd")</f>
        <v>Fri</v>
      </c>
      <c r="O341" s="2">
        <f>table1[[#This Row],[Credit]]-table1[[#This Row],[Debit]]</f>
        <v>-5</v>
      </c>
    </row>
    <row r="342" spans="5:15" x14ac:dyDescent="0.25">
      <c r="E342" s="1">
        <v>44296</v>
      </c>
      <c r="F342" t="s">
        <v>15</v>
      </c>
      <c r="G342" s="2">
        <v>5</v>
      </c>
      <c r="H342" s="2"/>
      <c r="I342" t="s">
        <v>16</v>
      </c>
      <c r="J342" t="s">
        <v>17</v>
      </c>
      <c r="K342" t="s">
        <v>18</v>
      </c>
      <c r="L342" t="str">
        <f>TEXT(table1[[#This Row],[Date]],"MMM")</f>
        <v>Apr</v>
      </c>
      <c r="M342">
        <f>MONTH(table1[[#This Row],[Date]])</f>
        <v>4</v>
      </c>
      <c r="N342" t="str">
        <f>TEXT(table1[[#This Row],[Date]],"ddd")</f>
        <v>Sat</v>
      </c>
      <c r="O342" s="2">
        <f>table1[[#This Row],[Credit]]-table1[[#This Row],[Debit]]</f>
        <v>-5</v>
      </c>
    </row>
    <row r="343" spans="5:15" x14ac:dyDescent="0.25">
      <c r="E343" s="1">
        <v>44297</v>
      </c>
      <c r="F343" t="s">
        <v>15</v>
      </c>
      <c r="G343" s="2">
        <v>5</v>
      </c>
      <c r="H343" s="2"/>
      <c r="I343" t="s">
        <v>16</v>
      </c>
      <c r="J343" t="s">
        <v>17</v>
      </c>
      <c r="K343" t="s">
        <v>18</v>
      </c>
      <c r="L343" t="str">
        <f>TEXT(table1[[#This Row],[Date]],"MMM")</f>
        <v>Apr</v>
      </c>
      <c r="M343">
        <f>MONTH(table1[[#This Row],[Date]])</f>
        <v>4</v>
      </c>
      <c r="N343" t="str">
        <f>TEXT(table1[[#This Row],[Date]],"ddd")</f>
        <v>Sun</v>
      </c>
      <c r="O343" s="2">
        <f>table1[[#This Row],[Credit]]-table1[[#This Row],[Debit]]</f>
        <v>-5</v>
      </c>
    </row>
    <row r="344" spans="5:15" x14ac:dyDescent="0.25">
      <c r="E344" s="1">
        <v>44298</v>
      </c>
      <c r="F344" t="s">
        <v>15</v>
      </c>
      <c r="G344" s="2">
        <v>5</v>
      </c>
      <c r="H344" s="2"/>
      <c r="I344" t="s">
        <v>16</v>
      </c>
      <c r="J344" t="s">
        <v>17</v>
      </c>
      <c r="K344" t="s">
        <v>18</v>
      </c>
      <c r="L344" t="str">
        <f>TEXT(table1[[#This Row],[Date]],"MMM")</f>
        <v>Apr</v>
      </c>
      <c r="M344">
        <f>MONTH(table1[[#This Row],[Date]])</f>
        <v>4</v>
      </c>
      <c r="N344" t="str">
        <f>TEXT(table1[[#This Row],[Date]],"ddd")</f>
        <v>Mon</v>
      </c>
      <c r="O344" s="2">
        <f>table1[[#This Row],[Credit]]-table1[[#This Row],[Debit]]</f>
        <v>-5</v>
      </c>
    </row>
    <row r="345" spans="5:15" x14ac:dyDescent="0.25">
      <c r="E345" s="1">
        <v>44299</v>
      </c>
      <c r="F345" t="s">
        <v>15</v>
      </c>
      <c r="G345" s="2">
        <v>5</v>
      </c>
      <c r="H345" s="2"/>
      <c r="I345" t="s">
        <v>16</v>
      </c>
      <c r="J345" t="s">
        <v>17</v>
      </c>
      <c r="K345" t="s">
        <v>18</v>
      </c>
      <c r="L345" t="str">
        <f>TEXT(table1[[#This Row],[Date]],"MMM")</f>
        <v>Apr</v>
      </c>
      <c r="M345">
        <f>MONTH(table1[[#This Row],[Date]])</f>
        <v>4</v>
      </c>
      <c r="N345" t="str">
        <f>TEXT(table1[[#This Row],[Date]],"ddd")</f>
        <v>Tue</v>
      </c>
      <c r="O345" s="2">
        <f>table1[[#This Row],[Credit]]-table1[[#This Row],[Debit]]</f>
        <v>-5</v>
      </c>
    </row>
    <row r="346" spans="5:15" x14ac:dyDescent="0.25">
      <c r="E346" s="1">
        <v>44301</v>
      </c>
      <c r="F346" t="s">
        <v>15</v>
      </c>
      <c r="G346" s="2">
        <v>5</v>
      </c>
      <c r="H346" s="2"/>
      <c r="I346" t="s">
        <v>16</v>
      </c>
      <c r="J346" t="s">
        <v>17</v>
      </c>
      <c r="K346" t="s">
        <v>18</v>
      </c>
      <c r="L346" t="str">
        <f>TEXT(table1[[#This Row],[Date]],"MMM")</f>
        <v>Apr</v>
      </c>
      <c r="M346">
        <f>MONTH(table1[[#This Row],[Date]])</f>
        <v>4</v>
      </c>
      <c r="N346" t="str">
        <f>TEXT(table1[[#This Row],[Date]],"ddd")</f>
        <v>Thu</v>
      </c>
      <c r="O346" s="2">
        <f>table1[[#This Row],[Credit]]-table1[[#This Row],[Debit]]</f>
        <v>-5</v>
      </c>
    </row>
    <row r="347" spans="5:15" x14ac:dyDescent="0.25">
      <c r="E347" s="1">
        <v>44302</v>
      </c>
      <c r="F347" t="s">
        <v>15</v>
      </c>
      <c r="G347" s="2">
        <v>5</v>
      </c>
      <c r="H347" s="2"/>
      <c r="I347" t="s">
        <v>16</v>
      </c>
      <c r="J347" t="s">
        <v>17</v>
      </c>
      <c r="K347" t="s">
        <v>18</v>
      </c>
      <c r="L347" t="str">
        <f>TEXT(table1[[#This Row],[Date]],"MMM")</f>
        <v>Apr</v>
      </c>
      <c r="M347">
        <f>MONTH(table1[[#This Row],[Date]])</f>
        <v>4</v>
      </c>
      <c r="N347" t="str">
        <f>TEXT(table1[[#This Row],[Date]],"ddd")</f>
        <v>Fri</v>
      </c>
      <c r="O347" s="2">
        <f>table1[[#This Row],[Credit]]-table1[[#This Row],[Debit]]</f>
        <v>-5</v>
      </c>
    </row>
    <row r="348" spans="5:15" x14ac:dyDescent="0.25">
      <c r="E348" s="1">
        <v>44303</v>
      </c>
      <c r="F348" t="s">
        <v>15</v>
      </c>
      <c r="G348" s="2">
        <v>5</v>
      </c>
      <c r="H348" s="2"/>
      <c r="I348" t="s">
        <v>16</v>
      </c>
      <c r="J348" t="s">
        <v>17</v>
      </c>
      <c r="K348" t="s">
        <v>18</v>
      </c>
      <c r="L348" t="str">
        <f>TEXT(table1[[#This Row],[Date]],"MMM")</f>
        <v>Apr</v>
      </c>
      <c r="M348">
        <f>MONTH(table1[[#This Row],[Date]])</f>
        <v>4</v>
      </c>
      <c r="N348" t="str">
        <f>TEXT(table1[[#This Row],[Date]],"ddd")</f>
        <v>Sat</v>
      </c>
      <c r="O348" s="2">
        <f>table1[[#This Row],[Credit]]-table1[[#This Row],[Debit]]</f>
        <v>-5</v>
      </c>
    </row>
    <row r="349" spans="5:15" x14ac:dyDescent="0.25">
      <c r="E349" s="1">
        <v>44304</v>
      </c>
      <c r="F349" t="s">
        <v>15</v>
      </c>
      <c r="G349" s="2">
        <v>5</v>
      </c>
      <c r="H349" s="2"/>
      <c r="I349" t="s">
        <v>16</v>
      </c>
      <c r="J349" t="s">
        <v>17</v>
      </c>
      <c r="K349" t="s">
        <v>18</v>
      </c>
      <c r="L349" t="str">
        <f>TEXT(table1[[#This Row],[Date]],"MMM")</f>
        <v>Apr</v>
      </c>
      <c r="M349">
        <f>MONTH(table1[[#This Row],[Date]])</f>
        <v>4</v>
      </c>
      <c r="N349" t="str">
        <f>TEXT(table1[[#This Row],[Date]],"ddd")</f>
        <v>Sun</v>
      </c>
      <c r="O349" s="2">
        <f>table1[[#This Row],[Credit]]-table1[[#This Row],[Debit]]</f>
        <v>-5</v>
      </c>
    </row>
    <row r="350" spans="5:15" x14ac:dyDescent="0.25">
      <c r="E350" s="1">
        <v>44305</v>
      </c>
      <c r="F350" t="s">
        <v>15</v>
      </c>
      <c r="G350" s="2">
        <v>5</v>
      </c>
      <c r="H350" s="2"/>
      <c r="I350" t="s">
        <v>16</v>
      </c>
      <c r="J350" t="s">
        <v>17</v>
      </c>
      <c r="K350" t="s">
        <v>18</v>
      </c>
      <c r="L350" t="str">
        <f>TEXT(table1[[#This Row],[Date]],"MMM")</f>
        <v>Apr</v>
      </c>
      <c r="M350">
        <f>MONTH(table1[[#This Row],[Date]])</f>
        <v>4</v>
      </c>
      <c r="N350" t="str">
        <f>TEXT(table1[[#This Row],[Date]],"ddd")</f>
        <v>Mon</v>
      </c>
      <c r="O350" s="2">
        <f>table1[[#This Row],[Credit]]-table1[[#This Row],[Debit]]</f>
        <v>-5</v>
      </c>
    </row>
    <row r="351" spans="5:15" x14ac:dyDescent="0.25">
      <c r="E351" s="1">
        <v>44308</v>
      </c>
      <c r="F351" t="s">
        <v>15</v>
      </c>
      <c r="G351" s="2">
        <v>5</v>
      </c>
      <c r="H351" s="2"/>
      <c r="I351" t="s">
        <v>16</v>
      </c>
      <c r="J351" t="s">
        <v>17</v>
      </c>
      <c r="K351" t="s">
        <v>18</v>
      </c>
      <c r="L351" t="str">
        <f>TEXT(table1[[#This Row],[Date]],"MMM")</f>
        <v>Apr</v>
      </c>
      <c r="M351">
        <f>MONTH(table1[[#This Row],[Date]])</f>
        <v>4</v>
      </c>
      <c r="N351" t="str">
        <f>TEXT(table1[[#This Row],[Date]],"ddd")</f>
        <v>Thu</v>
      </c>
      <c r="O351" s="2">
        <f>table1[[#This Row],[Credit]]-table1[[#This Row],[Debit]]</f>
        <v>-5</v>
      </c>
    </row>
    <row r="352" spans="5:15" x14ac:dyDescent="0.25">
      <c r="E352" s="1">
        <v>44309</v>
      </c>
      <c r="F352" t="s">
        <v>15</v>
      </c>
      <c r="G352" s="2">
        <v>5</v>
      </c>
      <c r="H352" s="2"/>
      <c r="I352" t="s">
        <v>16</v>
      </c>
      <c r="J352" t="s">
        <v>17</v>
      </c>
      <c r="K352" t="s">
        <v>18</v>
      </c>
      <c r="L352" t="str">
        <f>TEXT(table1[[#This Row],[Date]],"MMM")</f>
        <v>Apr</v>
      </c>
      <c r="M352">
        <f>MONTH(table1[[#This Row],[Date]])</f>
        <v>4</v>
      </c>
      <c r="N352" t="str">
        <f>TEXT(table1[[#This Row],[Date]],"ddd")</f>
        <v>Fri</v>
      </c>
      <c r="O352" s="2">
        <f>table1[[#This Row],[Credit]]-table1[[#This Row],[Debit]]</f>
        <v>-5</v>
      </c>
    </row>
    <row r="353" spans="5:15" x14ac:dyDescent="0.25">
      <c r="E353" s="1">
        <v>44310</v>
      </c>
      <c r="F353" t="s">
        <v>15</v>
      </c>
      <c r="G353" s="2">
        <v>5</v>
      </c>
      <c r="H353" s="2"/>
      <c r="I353" t="s">
        <v>16</v>
      </c>
      <c r="J353" t="s">
        <v>17</v>
      </c>
      <c r="K353" t="s">
        <v>18</v>
      </c>
      <c r="L353" t="str">
        <f>TEXT(table1[[#This Row],[Date]],"MMM")</f>
        <v>Apr</v>
      </c>
      <c r="M353">
        <f>MONTH(table1[[#This Row],[Date]])</f>
        <v>4</v>
      </c>
      <c r="N353" t="str">
        <f>TEXT(table1[[#This Row],[Date]],"ddd")</f>
        <v>Sat</v>
      </c>
      <c r="O353" s="2">
        <f>table1[[#This Row],[Credit]]-table1[[#This Row],[Debit]]</f>
        <v>-5</v>
      </c>
    </row>
    <row r="354" spans="5:15" x14ac:dyDescent="0.25">
      <c r="E354" s="1">
        <v>44311</v>
      </c>
      <c r="F354" t="s">
        <v>15</v>
      </c>
      <c r="G354" s="2">
        <v>5</v>
      </c>
      <c r="H354" s="2"/>
      <c r="I354" t="s">
        <v>16</v>
      </c>
      <c r="J354" t="s">
        <v>17</v>
      </c>
      <c r="K354" t="s">
        <v>18</v>
      </c>
      <c r="L354" t="str">
        <f>TEXT(table1[[#This Row],[Date]],"MMM")</f>
        <v>Apr</v>
      </c>
      <c r="M354">
        <f>MONTH(table1[[#This Row],[Date]])</f>
        <v>4</v>
      </c>
      <c r="N354" t="str">
        <f>TEXT(table1[[#This Row],[Date]],"ddd")</f>
        <v>Sun</v>
      </c>
      <c r="O354" s="2">
        <f>table1[[#This Row],[Credit]]-table1[[#This Row],[Debit]]</f>
        <v>-5</v>
      </c>
    </row>
    <row r="355" spans="5:15" x14ac:dyDescent="0.25">
      <c r="E355" s="1">
        <v>44312</v>
      </c>
      <c r="F355" t="s">
        <v>15</v>
      </c>
      <c r="G355" s="2">
        <v>5</v>
      </c>
      <c r="H355" s="2"/>
      <c r="I355" t="s">
        <v>16</v>
      </c>
      <c r="J355" t="s">
        <v>17</v>
      </c>
      <c r="K355" t="s">
        <v>18</v>
      </c>
      <c r="L355" t="str">
        <f>TEXT(table1[[#This Row],[Date]],"MMM")</f>
        <v>Apr</v>
      </c>
      <c r="M355">
        <f>MONTH(table1[[#This Row],[Date]])</f>
        <v>4</v>
      </c>
      <c r="N355" t="str">
        <f>TEXT(table1[[#This Row],[Date]],"ddd")</f>
        <v>Mon</v>
      </c>
      <c r="O355" s="2">
        <f>table1[[#This Row],[Credit]]-table1[[#This Row],[Debit]]</f>
        <v>-5</v>
      </c>
    </row>
    <row r="356" spans="5:15" x14ac:dyDescent="0.25">
      <c r="E356" s="1">
        <v>44315</v>
      </c>
      <c r="F356" t="s">
        <v>15</v>
      </c>
      <c r="G356" s="2">
        <v>5</v>
      </c>
      <c r="H356" s="2"/>
      <c r="I356" t="s">
        <v>16</v>
      </c>
      <c r="J356" t="s">
        <v>17</v>
      </c>
      <c r="K356" t="s">
        <v>18</v>
      </c>
      <c r="L356" t="str">
        <f>TEXT(table1[[#This Row],[Date]],"MMM")</f>
        <v>Apr</v>
      </c>
      <c r="M356">
        <f>MONTH(table1[[#This Row],[Date]])</f>
        <v>4</v>
      </c>
      <c r="N356" t="str">
        <f>TEXT(table1[[#This Row],[Date]],"ddd")</f>
        <v>Thu</v>
      </c>
      <c r="O356" s="2">
        <f>table1[[#This Row],[Credit]]-table1[[#This Row],[Debit]]</f>
        <v>-5</v>
      </c>
    </row>
    <row r="357" spans="5:15" x14ac:dyDescent="0.25">
      <c r="E357" s="1">
        <v>44316</v>
      </c>
      <c r="F357" t="s">
        <v>15</v>
      </c>
      <c r="G357" s="2">
        <v>5</v>
      </c>
      <c r="H357" s="2"/>
      <c r="I357" t="s">
        <v>16</v>
      </c>
      <c r="J357" t="s">
        <v>17</v>
      </c>
      <c r="K357" t="s">
        <v>18</v>
      </c>
      <c r="L357" t="str">
        <f>TEXT(table1[[#This Row],[Date]],"MMM")</f>
        <v>Apr</v>
      </c>
      <c r="M357">
        <f>MONTH(table1[[#This Row],[Date]])</f>
        <v>4</v>
      </c>
      <c r="N357" t="str">
        <f>TEXT(table1[[#This Row],[Date]],"ddd")</f>
        <v>Fri</v>
      </c>
      <c r="O357" s="2">
        <f>table1[[#This Row],[Credit]]-table1[[#This Row],[Debit]]</f>
        <v>-5</v>
      </c>
    </row>
    <row r="358" spans="5:15" x14ac:dyDescent="0.25">
      <c r="E358" s="1">
        <v>44318</v>
      </c>
      <c r="F358" t="s">
        <v>15</v>
      </c>
      <c r="G358" s="2">
        <v>5</v>
      </c>
      <c r="H358" s="2"/>
      <c r="I358" t="s">
        <v>16</v>
      </c>
      <c r="J358" t="s">
        <v>17</v>
      </c>
      <c r="K358" t="s">
        <v>18</v>
      </c>
      <c r="L358" t="str">
        <f>TEXT(table1[[#This Row],[Date]],"MMM")</f>
        <v>May</v>
      </c>
      <c r="M358">
        <f>MONTH(table1[[#This Row],[Date]])</f>
        <v>5</v>
      </c>
      <c r="N358" t="str">
        <f>TEXT(table1[[#This Row],[Date]],"ddd")</f>
        <v>Sun</v>
      </c>
      <c r="O358" s="2">
        <f>table1[[#This Row],[Credit]]-table1[[#This Row],[Debit]]</f>
        <v>-5</v>
      </c>
    </row>
    <row r="359" spans="5:15" x14ac:dyDescent="0.25">
      <c r="E359" s="1">
        <v>44319</v>
      </c>
      <c r="F359" t="s">
        <v>15</v>
      </c>
      <c r="G359" s="2">
        <v>5</v>
      </c>
      <c r="H359" s="2"/>
      <c r="I359" t="s">
        <v>16</v>
      </c>
      <c r="J359" t="s">
        <v>17</v>
      </c>
      <c r="K359" t="s">
        <v>18</v>
      </c>
      <c r="L359" t="str">
        <f>TEXT(table1[[#This Row],[Date]],"MMM")</f>
        <v>May</v>
      </c>
      <c r="M359">
        <f>MONTH(table1[[#This Row],[Date]])</f>
        <v>5</v>
      </c>
      <c r="N359" t="str">
        <f>TEXT(table1[[#This Row],[Date]],"ddd")</f>
        <v>Mon</v>
      </c>
      <c r="O359" s="2">
        <f>table1[[#This Row],[Credit]]-table1[[#This Row],[Debit]]</f>
        <v>-5</v>
      </c>
    </row>
    <row r="360" spans="5:15" x14ac:dyDescent="0.25">
      <c r="E360" s="1">
        <v>44320</v>
      </c>
      <c r="F360" t="s">
        <v>15</v>
      </c>
      <c r="G360" s="2">
        <v>5</v>
      </c>
      <c r="H360" s="2"/>
      <c r="I360" t="s">
        <v>16</v>
      </c>
      <c r="J360" t="s">
        <v>17</v>
      </c>
      <c r="K360" t="s">
        <v>18</v>
      </c>
      <c r="L360" t="str">
        <f>TEXT(table1[[#This Row],[Date]],"MMM")</f>
        <v>May</v>
      </c>
      <c r="M360">
        <f>MONTH(table1[[#This Row],[Date]])</f>
        <v>5</v>
      </c>
      <c r="N360" t="str">
        <f>TEXT(table1[[#This Row],[Date]],"ddd")</f>
        <v>Tue</v>
      </c>
      <c r="O360" s="2">
        <f>table1[[#This Row],[Credit]]-table1[[#This Row],[Debit]]</f>
        <v>-5</v>
      </c>
    </row>
    <row r="361" spans="5:15" x14ac:dyDescent="0.25">
      <c r="E361" s="1">
        <v>44321</v>
      </c>
      <c r="F361" t="s">
        <v>15</v>
      </c>
      <c r="G361" s="2">
        <v>5</v>
      </c>
      <c r="H361" s="2"/>
      <c r="I361" t="s">
        <v>16</v>
      </c>
      <c r="J361" t="s">
        <v>17</v>
      </c>
      <c r="K361" t="s">
        <v>18</v>
      </c>
      <c r="L361" t="str">
        <f>TEXT(table1[[#This Row],[Date]],"MMM")</f>
        <v>May</v>
      </c>
      <c r="M361">
        <f>MONTH(table1[[#This Row],[Date]])</f>
        <v>5</v>
      </c>
      <c r="N361" t="str">
        <f>TEXT(table1[[#This Row],[Date]],"ddd")</f>
        <v>Wed</v>
      </c>
      <c r="O361" s="2">
        <f>table1[[#This Row],[Credit]]-table1[[#This Row],[Debit]]</f>
        <v>-5</v>
      </c>
    </row>
    <row r="362" spans="5:15" x14ac:dyDescent="0.25">
      <c r="E362" s="1">
        <v>44322</v>
      </c>
      <c r="F362" t="s">
        <v>15</v>
      </c>
      <c r="G362" s="2">
        <v>5</v>
      </c>
      <c r="H362" s="2"/>
      <c r="I362" t="s">
        <v>16</v>
      </c>
      <c r="J362" t="s">
        <v>17</v>
      </c>
      <c r="K362" t="s">
        <v>18</v>
      </c>
      <c r="L362" t="str">
        <f>TEXT(table1[[#This Row],[Date]],"MMM")</f>
        <v>May</v>
      </c>
      <c r="M362">
        <f>MONTH(table1[[#This Row],[Date]])</f>
        <v>5</v>
      </c>
      <c r="N362" t="str">
        <f>TEXT(table1[[#This Row],[Date]],"ddd")</f>
        <v>Thu</v>
      </c>
      <c r="O362" s="2">
        <f>table1[[#This Row],[Credit]]-table1[[#This Row],[Debit]]</f>
        <v>-5</v>
      </c>
    </row>
    <row r="363" spans="5:15" x14ac:dyDescent="0.25">
      <c r="E363" s="1">
        <v>44325</v>
      </c>
      <c r="F363" t="s">
        <v>15</v>
      </c>
      <c r="G363" s="2">
        <v>5</v>
      </c>
      <c r="H363" s="2"/>
      <c r="I363" t="s">
        <v>16</v>
      </c>
      <c r="J363" t="s">
        <v>17</v>
      </c>
      <c r="K363" t="s">
        <v>18</v>
      </c>
      <c r="L363" t="str">
        <f>TEXT(table1[[#This Row],[Date]],"MMM")</f>
        <v>May</v>
      </c>
      <c r="M363">
        <f>MONTH(table1[[#This Row],[Date]])</f>
        <v>5</v>
      </c>
      <c r="N363" t="str">
        <f>TEXT(table1[[#This Row],[Date]],"ddd")</f>
        <v>Sun</v>
      </c>
      <c r="O363" s="2">
        <f>table1[[#This Row],[Credit]]-table1[[#This Row],[Debit]]</f>
        <v>-5</v>
      </c>
    </row>
    <row r="364" spans="5:15" x14ac:dyDescent="0.25">
      <c r="E364" s="1">
        <v>44326</v>
      </c>
      <c r="F364" t="s">
        <v>15</v>
      </c>
      <c r="G364" s="2">
        <v>5</v>
      </c>
      <c r="H364" s="2"/>
      <c r="I364" t="s">
        <v>16</v>
      </c>
      <c r="J364" t="s">
        <v>17</v>
      </c>
      <c r="K364" t="s">
        <v>18</v>
      </c>
      <c r="L364" t="str">
        <f>TEXT(table1[[#This Row],[Date]],"MMM")</f>
        <v>May</v>
      </c>
      <c r="M364">
        <f>MONTH(table1[[#This Row],[Date]])</f>
        <v>5</v>
      </c>
      <c r="N364" t="str">
        <f>TEXT(table1[[#This Row],[Date]],"ddd")</f>
        <v>Mon</v>
      </c>
      <c r="O364" s="2">
        <f>table1[[#This Row],[Credit]]-table1[[#This Row],[Debit]]</f>
        <v>-5</v>
      </c>
    </row>
    <row r="365" spans="5:15" x14ac:dyDescent="0.25">
      <c r="E365" s="1">
        <v>44327</v>
      </c>
      <c r="F365" t="s">
        <v>15</v>
      </c>
      <c r="G365" s="2">
        <v>5</v>
      </c>
      <c r="H365" s="2"/>
      <c r="I365" t="s">
        <v>16</v>
      </c>
      <c r="J365" t="s">
        <v>17</v>
      </c>
      <c r="K365" t="s">
        <v>18</v>
      </c>
      <c r="L365" t="str">
        <f>TEXT(table1[[#This Row],[Date]],"MMM")</f>
        <v>May</v>
      </c>
      <c r="M365">
        <f>MONTH(table1[[#This Row],[Date]])</f>
        <v>5</v>
      </c>
      <c r="N365" t="str">
        <f>TEXT(table1[[#This Row],[Date]],"ddd")</f>
        <v>Tue</v>
      </c>
      <c r="O365" s="2">
        <f>table1[[#This Row],[Credit]]-table1[[#This Row],[Debit]]</f>
        <v>-5</v>
      </c>
    </row>
    <row r="366" spans="5:15" x14ac:dyDescent="0.25">
      <c r="E366" s="1">
        <v>44328</v>
      </c>
      <c r="F366" t="s">
        <v>15</v>
      </c>
      <c r="G366" s="2">
        <v>5</v>
      </c>
      <c r="H366" s="2"/>
      <c r="I366" t="s">
        <v>16</v>
      </c>
      <c r="J366" t="s">
        <v>17</v>
      </c>
      <c r="K366" t="s">
        <v>18</v>
      </c>
      <c r="L366" t="str">
        <f>TEXT(table1[[#This Row],[Date]],"MMM")</f>
        <v>May</v>
      </c>
      <c r="M366">
        <f>MONTH(table1[[#This Row],[Date]])</f>
        <v>5</v>
      </c>
      <c r="N366" t="str">
        <f>TEXT(table1[[#This Row],[Date]],"ddd")</f>
        <v>Wed</v>
      </c>
      <c r="O366" s="2">
        <f>table1[[#This Row],[Credit]]-table1[[#This Row],[Debit]]</f>
        <v>-5</v>
      </c>
    </row>
    <row r="367" spans="5:15" x14ac:dyDescent="0.25">
      <c r="E367" s="1">
        <v>44329</v>
      </c>
      <c r="F367" t="s">
        <v>15</v>
      </c>
      <c r="G367" s="2">
        <v>5</v>
      </c>
      <c r="H367" s="2"/>
      <c r="I367" t="s">
        <v>16</v>
      </c>
      <c r="J367" t="s">
        <v>17</v>
      </c>
      <c r="K367" t="s">
        <v>18</v>
      </c>
      <c r="L367" t="str">
        <f>TEXT(table1[[#This Row],[Date]],"MMM")</f>
        <v>May</v>
      </c>
      <c r="M367">
        <f>MONTH(table1[[#This Row],[Date]])</f>
        <v>5</v>
      </c>
      <c r="N367" t="str">
        <f>TEXT(table1[[#This Row],[Date]],"ddd")</f>
        <v>Thu</v>
      </c>
      <c r="O367" s="2">
        <f>table1[[#This Row],[Credit]]-table1[[#This Row],[Debit]]</f>
        <v>-5</v>
      </c>
    </row>
    <row r="368" spans="5:15" x14ac:dyDescent="0.25">
      <c r="E368" s="1">
        <v>44330</v>
      </c>
      <c r="F368" t="s">
        <v>15</v>
      </c>
      <c r="G368" s="2">
        <v>5</v>
      </c>
      <c r="H368" s="2"/>
      <c r="I368" t="s">
        <v>16</v>
      </c>
      <c r="J368" t="s">
        <v>17</v>
      </c>
      <c r="K368" t="s">
        <v>18</v>
      </c>
      <c r="L368" t="str">
        <f>TEXT(table1[[#This Row],[Date]],"MMM")</f>
        <v>May</v>
      </c>
      <c r="M368">
        <f>MONTH(table1[[#This Row],[Date]])</f>
        <v>5</v>
      </c>
      <c r="N368" t="str">
        <f>TEXT(table1[[#This Row],[Date]],"ddd")</f>
        <v>Fri</v>
      </c>
      <c r="O368" s="2">
        <f>table1[[#This Row],[Credit]]-table1[[#This Row],[Debit]]</f>
        <v>-5</v>
      </c>
    </row>
    <row r="369" spans="5:15" x14ac:dyDescent="0.25">
      <c r="E369" s="1">
        <v>44332</v>
      </c>
      <c r="F369" t="s">
        <v>15</v>
      </c>
      <c r="G369" s="2">
        <v>5</v>
      </c>
      <c r="H369" s="2"/>
      <c r="I369" t="s">
        <v>16</v>
      </c>
      <c r="J369" t="s">
        <v>17</v>
      </c>
      <c r="K369" t="s">
        <v>18</v>
      </c>
      <c r="L369" t="str">
        <f>TEXT(table1[[#This Row],[Date]],"MMM")</f>
        <v>May</v>
      </c>
      <c r="M369">
        <f>MONTH(table1[[#This Row],[Date]])</f>
        <v>5</v>
      </c>
      <c r="N369" t="str">
        <f>TEXT(table1[[#This Row],[Date]],"ddd")</f>
        <v>Sun</v>
      </c>
      <c r="O369" s="2">
        <f>table1[[#This Row],[Credit]]-table1[[#This Row],[Debit]]</f>
        <v>-5</v>
      </c>
    </row>
    <row r="370" spans="5:15" x14ac:dyDescent="0.25">
      <c r="E370" s="1">
        <v>44333</v>
      </c>
      <c r="F370" t="s">
        <v>15</v>
      </c>
      <c r="G370" s="2">
        <v>5</v>
      </c>
      <c r="H370" s="2"/>
      <c r="I370" t="s">
        <v>16</v>
      </c>
      <c r="J370" t="s">
        <v>17</v>
      </c>
      <c r="K370" t="s">
        <v>18</v>
      </c>
      <c r="L370" t="str">
        <f>TEXT(table1[[#This Row],[Date]],"MMM")</f>
        <v>May</v>
      </c>
      <c r="M370">
        <f>MONTH(table1[[#This Row],[Date]])</f>
        <v>5</v>
      </c>
      <c r="N370" t="str">
        <f>TEXT(table1[[#This Row],[Date]],"ddd")</f>
        <v>Mon</v>
      </c>
      <c r="O370" s="2">
        <f>table1[[#This Row],[Credit]]-table1[[#This Row],[Debit]]</f>
        <v>-5</v>
      </c>
    </row>
    <row r="371" spans="5:15" x14ac:dyDescent="0.25">
      <c r="E371" s="1">
        <v>44334</v>
      </c>
      <c r="F371" t="s">
        <v>15</v>
      </c>
      <c r="G371" s="2">
        <v>5</v>
      </c>
      <c r="H371" s="2"/>
      <c r="I371" t="s">
        <v>16</v>
      </c>
      <c r="J371" t="s">
        <v>17</v>
      </c>
      <c r="K371" t="s">
        <v>18</v>
      </c>
      <c r="L371" t="str">
        <f>TEXT(table1[[#This Row],[Date]],"MMM")</f>
        <v>May</v>
      </c>
      <c r="M371">
        <f>MONTH(table1[[#This Row],[Date]])</f>
        <v>5</v>
      </c>
      <c r="N371" t="str">
        <f>TEXT(table1[[#This Row],[Date]],"ddd")</f>
        <v>Tue</v>
      </c>
      <c r="O371" s="2">
        <f>table1[[#This Row],[Credit]]-table1[[#This Row],[Debit]]</f>
        <v>-5</v>
      </c>
    </row>
    <row r="372" spans="5:15" x14ac:dyDescent="0.25">
      <c r="E372" s="1">
        <v>44335</v>
      </c>
      <c r="F372" t="s">
        <v>15</v>
      </c>
      <c r="G372" s="2">
        <v>5</v>
      </c>
      <c r="H372" s="2"/>
      <c r="I372" t="s">
        <v>16</v>
      </c>
      <c r="J372" t="s">
        <v>17</v>
      </c>
      <c r="K372" t="s">
        <v>18</v>
      </c>
      <c r="L372" t="str">
        <f>TEXT(table1[[#This Row],[Date]],"MMM")</f>
        <v>May</v>
      </c>
      <c r="M372">
        <f>MONTH(table1[[#This Row],[Date]])</f>
        <v>5</v>
      </c>
      <c r="N372" t="str">
        <f>TEXT(table1[[#This Row],[Date]],"ddd")</f>
        <v>Wed</v>
      </c>
      <c r="O372" s="2">
        <f>table1[[#This Row],[Credit]]-table1[[#This Row],[Debit]]</f>
        <v>-5</v>
      </c>
    </row>
    <row r="373" spans="5:15" x14ac:dyDescent="0.25">
      <c r="E373" s="1">
        <v>44336</v>
      </c>
      <c r="F373" t="s">
        <v>15</v>
      </c>
      <c r="G373" s="2">
        <v>5</v>
      </c>
      <c r="H373" s="2"/>
      <c r="I373" t="s">
        <v>16</v>
      </c>
      <c r="J373" t="s">
        <v>17</v>
      </c>
      <c r="K373" t="s">
        <v>18</v>
      </c>
      <c r="L373" t="str">
        <f>TEXT(table1[[#This Row],[Date]],"MMM")</f>
        <v>May</v>
      </c>
      <c r="M373">
        <f>MONTH(table1[[#This Row],[Date]])</f>
        <v>5</v>
      </c>
      <c r="N373" t="str">
        <f>TEXT(table1[[#This Row],[Date]],"ddd")</f>
        <v>Thu</v>
      </c>
      <c r="O373" s="2">
        <f>table1[[#This Row],[Credit]]-table1[[#This Row],[Debit]]</f>
        <v>-5</v>
      </c>
    </row>
    <row r="374" spans="5:15" x14ac:dyDescent="0.25">
      <c r="E374" s="1">
        <v>44339</v>
      </c>
      <c r="F374" t="s">
        <v>15</v>
      </c>
      <c r="G374" s="2">
        <v>5</v>
      </c>
      <c r="H374" s="2"/>
      <c r="I374" t="s">
        <v>16</v>
      </c>
      <c r="J374" t="s">
        <v>17</v>
      </c>
      <c r="K374" t="s">
        <v>18</v>
      </c>
      <c r="L374" t="str">
        <f>TEXT(table1[[#This Row],[Date]],"MMM")</f>
        <v>May</v>
      </c>
      <c r="M374">
        <f>MONTH(table1[[#This Row],[Date]])</f>
        <v>5</v>
      </c>
      <c r="N374" t="str">
        <f>TEXT(table1[[#This Row],[Date]],"ddd")</f>
        <v>Sun</v>
      </c>
      <c r="O374" s="2">
        <f>table1[[#This Row],[Credit]]-table1[[#This Row],[Debit]]</f>
        <v>-5</v>
      </c>
    </row>
    <row r="375" spans="5:15" x14ac:dyDescent="0.25">
      <c r="E375" s="1">
        <v>44340</v>
      </c>
      <c r="F375" t="s">
        <v>15</v>
      </c>
      <c r="G375" s="2">
        <v>5</v>
      </c>
      <c r="H375" s="2"/>
      <c r="I375" t="s">
        <v>16</v>
      </c>
      <c r="J375" t="s">
        <v>17</v>
      </c>
      <c r="K375" t="s">
        <v>18</v>
      </c>
      <c r="L375" t="str">
        <f>TEXT(table1[[#This Row],[Date]],"MMM")</f>
        <v>May</v>
      </c>
      <c r="M375">
        <f>MONTH(table1[[#This Row],[Date]])</f>
        <v>5</v>
      </c>
      <c r="N375" t="str">
        <f>TEXT(table1[[#This Row],[Date]],"ddd")</f>
        <v>Mon</v>
      </c>
      <c r="O375" s="2">
        <f>table1[[#This Row],[Credit]]-table1[[#This Row],[Debit]]</f>
        <v>-5</v>
      </c>
    </row>
    <row r="376" spans="5:15" x14ac:dyDescent="0.25">
      <c r="E376" s="1">
        <v>44341</v>
      </c>
      <c r="F376" t="s">
        <v>15</v>
      </c>
      <c r="G376" s="2">
        <v>5</v>
      </c>
      <c r="H376" s="2"/>
      <c r="I376" t="s">
        <v>16</v>
      </c>
      <c r="J376" t="s">
        <v>17</v>
      </c>
      <c r="K376" t="s">
        <v>18</v>
      </c>
      <c r="L376" t="str">
        <f>TEXT(table1[[#This Row],[Date]],"MMM")</f>
        <v>May</v>
      </c>
      <c r="M376">
        <f>MONTH(table1[[#This Row],[Date]])</f>
        <v>5</v>
      </c>
      <c r="N376" t="str">
        <f>TEXT(table1[[#This Row],[Date]],"ddd")</f>
        <v>Tue</v>
      </c>
      <c r="O376" s="2">
        <f>table1[[#This Row],[Credit]]-table1[[#This Row],[Debit]]</f>
        <v>-5</v>
      </c>
    </row>
    <row r="377" spans="5:15" x14ac:dyDescent="0.25">
      <c r="E377" s="1">
        <v>44342</v>
      </c>
      <c r="F377" t="s">
        <v>15</v>
      </c>
      <c r="G377" s="2">
        <v>5</v>
      </c>
      <c r="H377" s="2"/>
      <c r="I377" t="s">
        <v>16</v>
      </c>
      <c r="J377" t="s">
        <v>17</v>
      </c>
      <c r="K377" t="s">
        <v>18</v>
      </c>
      <c r="L377" t="str">
        <f>TEXT(table1[[#This Row],[Date]],"MMM")</f>
        <v>May</v>
      </c>
      <c r="M377">
        <f>MONTH(table1[[#This Row],[Date]])</f>
        <v>5</v>
      </c>
      <c r="N377" t="str">
        <f>TEXT(table1[[#This Row],[Date]],"ddd")</f>
        <v>Wed</v>
      </c>
      <c r="O377" s="2">
        <f>table1[[#This Row],[Credit]]-table1[[#This Row],[Debit]]</f>
        <v>-5</v>
      </c>
    </row>
    <row r="378" spans="5:15" x14ac:dyDescent="0.25">
      <c r="E378" s="1">
        <v>44343</v>
      </c>
      <c r="F378" t="s">
        <v>15</v>
      </c>
      <c r="G378" s="2">
        <v>5</v>
      </c>
      <c r="H378" s="2"/>
      <c r="I378" t="s">
        <v>16</v>
      </c>
      <c r="J378" t="s">
        <v>17</v>
      </c>
      <c r="K378" t="s">
        <v>18</v>
      </c>
      <c r="L378" t="str">
        <f>TEXT(table1[[#This Row],[Date]],"MMM")</f>
        <v>May</v>
      </c>
      <c r="M378">
        <f>MONTH(table1[[#This Row],[Date]])</f>
        <v>5</v>
      </c>
      <c r="N378" t="str">
        <f>TEXT(table1[[#This Row],[Date]],"ddd")</f>
        <v>Thu</v>
      </c>
      <c r="O378" s="2">
        <f>table1[[#This Row],[Credit]]-table1[[#This Row],[Debit]]</f>
        <v>-5</v>
      </c>
    </row>
    <row r="379" spans="5:15" x14ac:dyDescent="0.25">
      <c r="E379" s="1">
        <v>44346</v>
      </c>
      <c r="F379" t="s">
        <v>15</v>
      </c>
      <c r="G379" s="2">
        <v>5</v>
      </c>
      <c r="H379" s="2"/>
      <c r="I379" t="s">
        <v>16</v>
      </c>
      <c r="J379" t="s">
        <v>17</v>
      </c>
      <c r="K379" t="s">
        <v>18</v>
      </c>
      <c r="L379" t="str">
        <f>TEXT(table1[[#This Row],[Date]],"MMM")</f>
        <v>May</v>
      </c>
      <c r="M379">
        <f>MONTH(table1[[#This Row],[Date]])</f>
        <v>5</v>
      </c>
      <c r="N379" t="str">
        <f>TEXT(table1[[#This Row],[Date]],"ddd")</f>
        <v>Sun</v>
      </c>
      <c r="O379" s="2">
        <f>table1[[#This Row],[Credit]]-table1[[#This Row],[Debit]]</f>
        <v>-5</v>
      </c>
    </row>
    <row r="380" spans="5:15" x14ac:dyDescent="0.25">
      <c r="E380" s="1">
        <v>44347</v>
      </c>
      <c r="F380" t="s">
        <v>15</v>
      </c>
      <c r="G380" s="2">
        <v>5</v>
      </c>
      <c r="H380" s="2"/>
      <c r="I380" t="s">
        <v>16</v>
      </c>
      <c r="J380" t="s">
        <v>17</v>
      </c>
      <c r="K380" t="s">
        <v>18</v>
      </c>
      <c r="L380" t="str">
        <f>TEXT(table1[[#This Row],[Date]],"MMM")</f>
        <v>May</v>
      </c>
      <c r="M380">
        <f>MONTH(table1[[#This Row],[Date]])</f>
        <v>5</v>
      </c>
      <c r="N380" t="str">
        <f>TEXT(table1[[#This Row],[Date]],"ddd")</f>
        <v>Mon</v>
      </c>
      <c r="O380" s="2">
        <f>table1[[#This Row],[Credit]]-table1[[#This Row],[Debit]]</f>
        <v>-5</v>
      </c>
    </row>
    <row r="381" spans="5:15" x14ac:dyDescent="0.25">
      <c r="E381" s="1">
        <v>44350</v>
      </c>
      <c r="F381" t="s">
        <v>15</v>
      </c>
      <c r="G381" s="2">
        <v>5</v>
      </c>
      <c r="H381" s="2"/>
      <c r="I381" t="s">
        <v>16</v>
      </c>
      <c r="J381" t="s">
        <v>17</v>
      </c>
      <c r="K381" t="s">
        <v>18</v>
      </c>
      <c r="L381" t="str">
        <f>TEXT(table1[[#This Row],[Date]],"MMM")</f>
        <v>Jun</v>
      </c>
      <c r="M381">
        <f>MONTH(table1[[#This Row],[Date]])</f>
        <v>6</v>
      </c>
      <c r="N381" t="str">
        <f>TEXT(table1[[#This Row],[Date]],"ddd")</f>
        <v>Thu</v>
      </c>
      <c r="O381" s="2">
        <f>table1[[#This Row],[Credit]]-table1[[#This Row],[Debit]]</f>
        <v>-5</v>
      </c>
    </row>
    <row r="382" spans="5:15" x14ac:dyDescent="0.25">
      <c r="E382" s="1">
        <v>44350</v>
      </c>
      <c r="F382" t="s">
        <v>15</v>
      </c>
      <c r="G382" s="2">
        <v>5</v>
      </c>
      <c r="H382" s="2"/>
      <c r="I382" t="s">
        <v>16</v>
      </c>
      <c r="J382" t="s">
        <v>17</v>
      </c>
      <c r="K382" t="s">
        <v>18</v>
      </c>
      <c r="L382" t="str">
        <f>TEXT(table1[[#This Row],[Date]],"MMM")</f>
        <v>Jun</v>
      </c>
      <c r="M382">
        <f>MONTH(table1[[#This Row],[Date]])</f>
        <v>6</v>
      </c>
      <c r="N382" t="str">
        <f>TEXT(table1[[#This Row],[Date]],"ddd")</f>
        <v>Thu</v>
      </c>
      <c r="O382" s="2">
        <f>table1[[#This Row],[Credit]]-table1[[#This Row],[Debit]]</f>
        <v>-5</v>
      </c>
    </row>
    <row r="383" spans="5:15" x14ac:dyDescent="0.25">
      <c r="E383" s="1">
        <v>44351</v>
      </c>
      <c r="F383" t="s">
        <v>15</v>
      </c>
      <c r="G383" s="2">
        <v>5</v>
      </c>
      <c r="H383" s="2"/>
      <c r="I383" t="s">
        <v>16</v>
      </c>
      <c r="J383" t="s">
        <v>17</v>
      </c>
      <c r="K383" t="s">
        <v>18</v>
      </c>
      <c r="L383" t="str">
        <f>TEXT(table1[[#This Row],[Date]],"MMM")</f>
        <v>Jun</v>
      </c>
      <c r="M383">
        <f>MONTH(table1[[#This Row],[Date]])</f>
        <v>6</v>
      </c>
      <c r="N383" t="str">
        <f>TEXT(table1[[#This Row],[Date]],"ddd")</f>
        <v>Fri</v>
      </c>
      <c r="O383" s="2">
        <f>table1[[#This Row],[Credit]]-table1[[#This Row],[Debit]]</f>
        <v>-5</v>
      </c>
    </row>
    <row r="384" spans="5:15" x14ac:dyDescent="0.25">
      <c r="E384" s="1">
        <v>44352</v>
      </c>
      <c r="F384" t="s">
        <v>15</v>
      </c>
      <c r="G384" s="2">
        <v>5</v>
      </c>
      <c r="H384" s="2"/>
      <c r="I384" t="s">
        <v>16</v>
      </c>
      <c r="J384" t="s">
        <v>17</v>
      </c>
      <c r="K384" t="s">
        <v>18</v>
      </c>
      <c r="L384" t="str">
        <f>TEXT(table1[[#This Row],[Date]],"MMM")</f>
        <v>Jun</v>
      </c>
      <c r="M384">
        <f>MONTH(table1[[#This Row],[Date]])</f>
        <v>6</v>
      </c>
      <c r="N384" t="str">
        <f>TEXT(table1[[#This Row],[Date]],"ddd")</f>
        <v>Sat</v>
      </c>
      <c r="O384" s="2">
        <f>table1[[#This Row],[Credit]]-table1[[#This Row],[Debit]]</f>
        <v>-5</v>
      </c>
    </row>
    <row r="385" spans="5:15" x14ac:dyDescent="0.25">
      <c r="E385" s="1">
        <v>44353</v>
      </c>
      <c r="F385" t="s">
        <v>15</v>
      </c>
      <c r="G385" s="2">
        <v>5</v>
      </c>
      <c r="H385" s="2"/>
      <c r="I385" t="s">
        <v>16</v>
      </c>
      <c r="J385" t="s">
        <v>17</v>
      </c>
      <c r="K385" t="s">
        <v>18</v>
      </c>
      <c r="L385" t="str">
        <f>TEXT(table1[[#This Row],[Date]],"MMM")</f>
        <v>Jun</v>
      </c>
      <c r="M385">
        <f>MONTH(table1[[#This Row],[Date]])</f>
        <v>6</v>
      </c>
      <c r="N385" t="str">
        <f>TEXT(table1[[#This Row],[Date]],"ddd")</f>
        <v>Sun</v>
      </c>
      <c r="O385" s="2">
        <f>table1[[#This Row],[Credit]]-table1[[#This Row],[Debit]]</f>
        <v>-5</v>
      </c>
    </row>
    <row r="386" spans="5:15" x14ac:dyDescent="0.25">
      <c r="E386" s="1">
        <v>44356</v>
      </c>
      <c r="F386" t="s">
        <v>15</v>
      </c>
      <c r="G386" s="2">
        <v>5</v>
      </c>
      <c r="H386" s="2"/>
      <c r="I386" t="s">
        <v>16</v>
      </c>
      <c r="J386" t="s">
        <v>17</v>
      </c>
      <c r="K386" t="s">
        <v>18</v>
      </c>
      <c r="L386" t="str">
        <f>TEXT(table1[[#This Row],[Date]],"MMM")</f>
        <v>Jun</v>
      </c>
      <c r="M386">
        <f>MONTH(table1[[#This Row],[Date]])</f>
        <v>6</v>
      </c>
      <c r="N386" t="str">
        <f>TEXT(table1[[#This Row],[Date]],"ddd")</f>
        <v>Wed</v>
      </c>
      <c r="O386" s="2">
        <f>table1[[#This Row],[Credit]]-table1[[#This Row],[Debit]]</f>
        <v>-5</v>
      </c>
    </row>
    <row r="387" spans="5:15" x14ac:dyDescent="0.25">
      <c r="E387" s="1">
        <v>44357</v>
      </c>
      <c r="F387" t="s">
        <v>15</v>
      </c>
      <c r="G387" s="2">
        <v>5</v>
      </c>
      <c r="H387" s="2"/>
      <c r="I387" t="s">
        <v>16</v>
      </c>
      <c r="J387" t="s">
        <v>17</v>
      </c>
      <c r="K387" t="s">
        <v>18</v>
      </c>
      <c r="L387" t="str">
        <f>TEXT(table1[[#This Row],[Date]],"MMM")</f>
        <v>Jun</v>
      </c>
      <c r="M387">
        <f>MONTH(table1[[#This Row],[Date]])</f>
        <v>6</v>
      </c>
      <c r="N387" t="str">
        <f>TEXT(table1[[#This Row],[Date]],"ddd")</f>
        <v>Thu</v>
      </c>
      <c r="O387" s="2">
        <f>table1[[#This Row],[Credit]]-table1[[#This Row],[Debit]]</f>
        <v>-5</v>
      </c>
    </row>
    <row r="388" spans="5:15" x14ac:dyDescent="0.25">
      <c r="E388" s="1">
        <v>44358</v>
      </c>
      <c r="F388" t="s">
        <v>15</v>
      </c>
      <c r="G388" s="2">
        <v>5</v>
      </c>
      <c r="H388" s="2"/>
      <c r="I388" t="s">
        <v>16</v>
      </c>
      <c r="J388" t="s">
        <v>17</v>
      </c>
      <c r="K388" t="s">
        <v>18</v>
      </c>
      <c r="L388" t="str">
        <f>TEXT(table1[[#This Row],[Date]],"MMM")</f>
        <v>Jun</v>
      </c>
      <c r="M388">
        <f>MONTH(table1[[#This Row],[Date]])</f>
        <v>6</v>
      </c>
      <c r="N388" t="str">
        <f>TEXT(table1[[#This Row],[Date]],"ddd")</f>
        <v>Fri</v>
      </c>
      <c r="O388" s="2">
        <f>table1[[#This Row],[Credit]]-table1[[#This Row],[Debit]]</f>
        <v>-5</v>
      </c>
    </row>
    <row r="389" spans="5:15" x14ac:dyDescent="0.25">
      <c r="E389" s="1">
        <v>44359</v>
      </c>
      <c r="F389" t="s">
        <v>15</v>
      </c>
      <c r="G389" s="2">
        <v>5</v>
      </c>
      <c r="H389" s="2"/>
      <c r="I389" t="s">
        <v>16</v>
      </c>
      <c r="J389" t="s">
        <v>17</v>
      </c>
      <c r="K389" t="s">
        <v>18</v>
      </c>
      <c r="L389" t="str">
        <f>TEXT(table1[[#This Row],[Date]],"MMM")</f>
        <v>Jun</v>
      </c>
      <c r="M389">
        <f>MONTH(table1[[#This Row],[Date]])</f>
        <v>6</v>
      </c>
      <c r="N389" t="str">
        <f>TEXT(table1[[#This Row],[Date]],"ddd")</f>
        <v>Sat</v>
      </c>
      <c r="O389" s="2">
        <f>table1[[#This Row],[Credit]]-table1[[#This Row],[Debit]]</f>
        <v>-5</v>
      </c>
    </row>
    <row r="390" spans="5:15" x14ac:dyDescent="0.25">
      <c r="E390" s="1">
        <v>44360</v>
      </c>
      <c r="F390" t="s">
        <v>15</v>
      </c>
      <c r="G390" s="2">
        <v>5</v>
      </c>
      <c r="H390" s="2"/>
      <c r="I390" t="s">
        <v>16</v>
      </c>
      <c r="J390" t="s">
        <v>17</v>
      </c>
      <c r="K390" t="s">
        <v>18</v>
      </c>
      <c r="L390" t="str">
        <f>TEXT(table1[[#This Row],[Date]],"MMM")</f>
        <v>Jun</v>
      </c>
      <c r="M390">
        <f>MONTH(table1[[#This Row],[Date]])</f>
        <v>6</v>
      </c>
      <c r="N390" t="str">
        <f>TEXT(table1[[#This Row],[Date]],"ddd")</f>
        <v>Sun</v>
      </c>
      <c r="O390" s="2">
        <f>table1[[#This Row],[Credit]]-table1[[#This Row],[Debit]]</f>
        <v>-5</v>
      </c>
    </row>
    <row r="391" spans="5:15" x14ac:dyDescent="0.25">
      <c r="E391" s="1">
        <v>44361</v>
      </c>
      <c r="F391" t="s">
        <v>15</v>
      </c>
      <c r="G391" s="2">
        <v>5</v>
      </c>
      <c r="H391" s="2"/>
      <c r="I391" t="s">
        <v>16</v>
      </c>
      <c r="J391" t="s">
        <v>17</v>
      </c>
      <c r="K391" t="s">
        <v>18</v>
      </c>
      <c r="L391" t="str">
        <f>TEXT(table1[[#This Row],[Date]],"MMM")</f>
        <v>Jun</v>
      </c>
      <c r="M391">
        <f>MONTH(table1[[#This Row],[Date]])</f>
        <v>6</v>
      </c>
      <c r="N391" t="str">
        <f>TEXT(table1[[#This Row],[Date]],"ddd")</f>
        <v>Mon</v>
      </c>
      <c r="O391" s="2">
        <f>table1[[#This Row],[Credit]]-table1[[#This Row],[Debit]]</f>
        <v>-5</v>
      </c>
    </row>
    <row r="392" spans="5:15" x14ac:dyDescent="0.25">
      <c r="E392" s="1">
        <v>44363</v>
      </c>
      <c r="F392" t="s">
        <v>15</v>
      </c>
      <c r="G392" s="2">
        <v>5</v>
      </c>
      <c r="H392" s="2"/>
      <c r="I392" t="s">
        <v>16</v>
      </c>
      <c r="J392" t="s">
        <v>17</v>
      </c>
      <c r="K392" t="s">
        <v>18</v>
      </c>
      <c r="L392" t="str">
        <f>TEXT(table1[[#This Row],[Date]],"MMM")</f>
        <v>Jun</v>
      </c>
      <c r="M392">
        <f>MONTH(table1[[#This Row],[Date]])</f>
        <v>6</v>
      </c>
      <c r="N392" t="str">
        <f>TEXT(table1[[#This Row],[Date]],"ddd")</f>
        <v>Wed</v>
      </c>
      <c r="O392" s="2">
        <f>table1[[#This Row],[Credit]]-table1[[#This Row],[Debit]]</f>
        <v>-5</v>
      </c>
    </row>
    <row r="393" spans="5:15" x14ac:dyDescent="0.25">
      <c r="E393" s="1">
        <v>44364</v>
      </c>
      <c r="F393" t="s">
        <v>15</v>
      </c>
      <c r="G393" s="2">
        <v>5</v>
      </c>
      <c r="H393" s="2"/>
      <c r="I393" t="s">
        <v>16</v>
      </c>
      <c r="J393" t="s">
        <v>17</v>
      </c>
      <c r="K393" t="s">
        <v>18</v>
      </c>
      <c r="L393" t="str">
        <f>TEXT(table1[[#This Row],[Date]],"MMM")</f>
        <v>Jun</v>
      </c>
      <c r="M393">
        <f>MONTH(table1[[#This Row],[Date]])</f>
        <v>6</v>
      </c>
      <c r="N393" t="str">
        <f>TEXT(table1[[#This Row],[Date]],"ddd")</f>
        <v>Thu</v>
      </c>
      <c r="O393" s="2">
        <f>table1[[#This Row],[Credit]]-table1[[#This Row],[Debit]]</f>
        <v>-5</v>
      </c>
    </row>
    <row r="394" spans="5:15" x14ac:dyDescent="0.25">
      <c r="E394" s="1">
        <v>44365</v>
      </c>
      <c r="F394" t="s">
        <v>15</v>
      </c>
      <c r="G394" s="2">
        <v>5</v>
      </c>
      <c r="H394" s="2"/>
      <c r="I394" t="s">
        <v>16</v>
      </c>
      <c r="J394" t="s">
        <v>17</v>
      </c>
      <c r="K394" t="s">
        <v>18</v>
      </c>
      <c r="L394" t="str">
        <f>TEXT(table1[[#This Row],[Date]],"MMM")</f>
        <v>Jun</v>
      </c>
      <c r="M394">
        <f>MONTH(table1[[#This Row],[Date]])</f>
        <v>6</v>
      </c>
      <c r="N394" t="str">
        <f>TEXT(table1[[#This Row],[Date]],"ddd")</f>
        <v>Fri</v>
      </c>
      <c r="O394" s="2">
        <f>table1[[#This Row],[Credit]]-table1[[#This Row],[Debit]]</f>
        <v>-5</v>
      </c>
    </row>
    <row r="395" spans="5:15" x14ac:dyDescent="0.25">
      <c r="E395" s="1">
        <v>44366</v>
      </c>
      <c r="F395" t="s">
        <v>15</v>
      </c>
      <c r="G395" s="2">
        <v>5</v>
      </c>
      <c r="H395" s="2"/>
      <c r="I395" t="s">
        <v>16</v>
      </c>
      <c r="J395" t="s">
        <v>17</v>
      </c>
      <c r="K395" t="s">
        <v>18</v>
      </c>
      <c r="L395" t="str">
        <f>TEXT(table1[[#This Row],[Date]],"MMM")</f>
        <v>Jun</v>
      </c>
      <c r="M395">
        <f>MONTH(table1[[#This Row],[Date]])</f>
        <v>6</v>
      </c>
      <c r="N395" t="str">
        <f>TEXT(table1[[#This Row],[Date]],"ddd")</f>
        <v>Sat</v>
      </c>
      <c r="O395" s="2">
        <f>table1[[#This Row],[Credit]]-table1[[#This Row],[Debit]]</f>
        <v>-5</v>
      </c>
    </row>
    <row r="396" spans="5:15" x14ac:dyDescent="0.25">
      <c r="E396" s="1">
        <v>44367</v>
      </c>
      <c r="F396" t="s">
        <v>15</v>
      </c>
      <c r="G396" s="2">
        <v>5</v>
      </c>
      <c r="H396" s="2"/>
      <c r="I396" t="s">
        <v>16</v>
      </c>
      <c r="J396" t="s">
        <v>17</v>
      </c>
      <c r="K396" t="s">
        <v>18</v>
      </c>
      <c r="L396" t="str">
        <f>TEXT(table1[[#This Row],[Date]],"MMM")</f>
        <v>Jun</v>
      </c>
      <c r="M396">
        <f>MONTH(table1[[#This Row],[Date]])</f>
        <v>6</v>
      </c>
      <c r="N396" t="str">
        <f>TEXT(table1[[#This Row],[Date]],"ddd")</f>
        <v>Sun</v>
      </c>
      <c r="O396" s="2">
        <f>table1[[#This Row],[Credit]]-table1[[#This Row],[Debit]]</f>
        <v>-5</v>
      </c>
    </row>
    <row r="397" spans="5:15" x14ac:dyDescent="0.25">
      <c r="E397" s="1">
        <v>44370</v>
      </c>
      <c r="F397" t="s">
        <v>15</v>
      </c>
      <c r="G397" s="2">
        <v>5</v>
      </c>
      <c r="H397" s="2"/>
      <c r="I397" t="s">
        <v>16</v>
      </c>
      <c r="J397" t="s">
        <v>17</v>
      </c>
      <c r="K397" t="s">
        <v>18</v>
      </c>
      <c r="L397" t="str">
        <f>TEXT(table1[[#This Row],[Date]],"MMM")</f>
        <v>Jun</v>
      </c>
      <c r="M397">
        <f>MONTH(table1[[#This Row],[Date]])</f>
        <v>6</v>
      </c>
      <c r="N397" t="str">
        <f>TEXT(table1[[#This Row],[Date]],"ddd")</f>
        <v>Wed</v>
      </c>
      <c r="O397" s="2">
        <f>table1[[#This Row],[Credit]]-table1[[#This Row],[Debit]]</f>
        <v>-5</v>
      </c>
    </row>
    <row r="398" spans="5:15" x14ac:dyDescent="0.25">
      <c r="E398" s="1">
        <v>44371</v>
      </c>
      <c r="F398" t="s">
        <v>15</v>
      </c>
      <c r="G398" s="2">
        <v>5</v>
      </c>
      <c r="H398" s="2"/>
      <c r="I398" t="s">
        <v>16</v>
      </c>
      <c r="J398" t="s">
        <v>17</v>
      </c>
      <c r="K398" t="s">
        <v>18</v>
      </c>
      <c r="L398" t="str">
        <f>TEXT(table1[[#This Row],[Date]],"MMM")</f>
        <v>Jun</v>
      </c>
      <c r="M398">
        <f>MONTH(table1[[#This Row],[Date]])</f>
        <v>6</v>
      </c>
      <c r="N398" t="str">
        <f>TEXT(table1[[#This Row],[Date]],"ddd")</f>
        <v>Thu</v>
      </c>
      <c r="O398" s="2">
        <f>table1[[#This Row],[Credit]]-table1[[#This Row],[Debit]]</f>
        <v>-5</v>
      </c>
    </row>
    <row r="399" spans="5:15" x14ac:dyDescent="0.25">
      <c r="E399" s="1">
        <v>44372</v>
      </c>
      <c r="F399" t="s">
        <v>15</v>
      </c>
      <c r="G399" s="2">
        <v>5</v>
      </c>
      <c r="H399" s="2"/>
      <c r="I399" t="s">
        <v>16</v>
      </c>
      <c r="J399" t="s">
        <v>17</v>
      </c>
      <c r="K399" t="s">
        <v>18</v>
      </c>
      <c r="L399" t="str">
        <f>TEXT(table1[[#This Row],[Date]],"MMM")</f>
        <v>Jun</v>
      </c>
      <c r="M399">
        <f>MONTH(table1[[#This Row],[Date]])</f>
        <v>6</v>
      </c>
      <c r="N399" t="str">
        <f>TEXT(table1[[#This Row],[Date]],"ddd")</f>
        <v>Fri</v>
      </c>
      <c r="O399" s="2">
        <f>table1[[#This Row],[Credit]]-table1[[#This Row],[Debit]]</f>
        <v>-5</v>
      </c>
    </row>
    <row r="400" spans="5:15" x14ac:dyDescent="0.25">
      <c r="E400" s="1">
        <v>44373</v>
      </c>
      <c r="F400" t="s">
        <v>15</v>
      </c>
      <c r="G400" s="2">
        <v>5</v>
      </c>
      <c r="H400" s="2"/>
      <c r="I400" t="s">
        <v>16</v>
      </c>
      <c r="J400" t="s">
        <v>17</v>
      </c>
      <c r="K400" t="s">
        <v>18</v>
      </c>
      <c r="L400" t="str">
        <f>TEXT(table1[[#This Row],[Date]],"MMM")</f>
        <v>Jun</v>
      </c>
      <c r="M400">
        <f>MONTH(table1[[#This Row],[Date]])</f>
        <v>6</v>
      </c>
      <c r="N400" t="str">
        <f>TEXT(table1[[#This Row],[Date]],"ddd")</f>
        <v>Sat</v>
      </c>
      <c r="O400" s="2">
        <f>table1[[#This Row],[Credit]]-table1[[#This Row],[Debit]]</f>
        <v>-5</v>
      </c>
    </row>
    <row r="401" spans="5:15" x14ac:dyDescent="0.25">
      <c r="E401" s="1">
        <v>44374</v>
      </c>
      <c r="F401" t="s">
        <v>15</v>
      </c>
      <c r="G401" s="2">
        <v>5</v>
      </c>
      <c r="H401" s="2"/>
      <c r="I401" t="s">
        <v>16</v>
      </c>
      <c r="J401" t="s">
        <v>17</v>
      </c>
      <c r="K401" t="s">
        <v>18</v>
      </c>
      <c r="L401" t="str">
        <f>TEXT(table1[[#This Row],[Date]],"MMM")</f>
        <v>Jun</v>
      </c>
      <c r="M401">
        <f>MONTH(table1[[#This Row],[Date]])</f>
        <v>6</v>
      </c>
      <c r="N401" t="str">
        <f>TEXT(table1[[#This Row],[Date]],"ddd")</f>
        <v>Sun</v>
      </c>
      <c r="O401" s="2">
        <f>table1[[#This Row],[Credit]]-table1[[#This Row],[Debit]]</f>
        <v>-5</v>
      </c>
    </row>
    <row r="402" spans="5:15" x14ac:dyDescent="0.25">
      <c r="E402" s="1">
        <v>44377</v>
      </c>
      <c r="F402" t="s">
        <v>15</v>
      </c>
      <c r="G402" s="2">
        <v>5</v>
      </c>
      <c r="H402" s="2"/>
      <c r="I402" t="s">
        <v>16</v>
      </c>
      <c r="J402" t="s">
        <v>17</v>
      </c>
      <c r="K402" t="s">
        <v>18</v>
      </c>
      <c r="L402" t="str">
        <f>TEXT(table1[[#This Row],[Date]],"MMM")</f>
        <v>Jun</v>
      </c>
      <c r="M402">
        <f>MONTH(table1[[#This Row],[Date]])</f>
        <v>6</v>
      </c>
      <c r="N402" t="str">
        <f>TEXT(table1[[#This Row],[Date]],"ddd")</f>
        <v>Wed</v>
      </c>
      <c r="O402" s="2">
        <f>table1[[#This Row],[Credit]]-table1[[#This Row],[Debit]]</f>
        <v>-5</v>
      </c>
    </row>
    <row r="403" spans="5:15" x14ac:dyDescent="0.25">
      <c r="E403" s="1">
        <v>44378</v>
      </c>
      <c r="F403" t="s">
        <v>15</v>
      </c>
      <c r="G403" s="2">
        <v>5</v>
      </c>
      <c r="H403" s="2"/>
      <c r="I403" t="s">
        <v>16</v>
      </c>
      <c r="J403" t="s">
        <v>17</v>
      </c>
      <c r="K403" t="s">
        <v>18</v>
      </c>
      <c r="L403" t="str">
        <f>TEXT(table1[[#This Row],[Date]],"MMM")</f>
        <v>Jul</v>
      </c>
      <c r="M403">
        <f>MONTH(table1[[#This Row],[Date]])</f>
        <v>7</v>
      </c>
      <c r="N403" t="str">
        <f>TEXT(table1[[#This Row],[Date]],"ddd")</f>
        <v>Thu</v>
      </c>
      <c r="O403" s="2">
        <f>table1[[#This Row],[Credit]]-table1[[#This Row],[Debit]]</f>
        <v>-5</v>
      </c>
    </row>
    <row r="404" spans="5:15" x14ac:dyDescent="0.25">
      <c r="E404" s="1">
        <v>44380</v>
      </c>
      <c r="F404" t="s">
        <v>15</v>
      </c>
      <c r="G404" s="2">
        <v>5</v>
      </c>
      <c r="H404" s="2"/>
      <c r="I404" t="s">
        <v>16</v>
      </c>
      <c r="J404" t="s">
        <v>17</v>
      </c>
      <c r="K404" t="s">
        <v>18</v>
      </c>
      <c r="L404" t="str">
        <f>TEXT(table1[[#This Row],[Date]],"MMM")</f>
        <v>Jul</v>
      </c>
      <c r="M404">
        <f>MONTH(table1[[#This Row],[Date]])</f>
        <v>7</v>
      </c>
      <c r="N404" t="str">
        <f>TEXT(table1[[#This Row],[Date]],"ddd")</f>
        <v>Sat</v>
      </c>
      <c r="O404" s="2">
        <f>table1[[#This Row],[Credit]]-table1[[#This Row],[Debit]]</f>
        <v>-5</v>
      </c>
    </row>
    <row r="405" spans="5:15" x14ac:dyDescent="0.25">
      <c r="E405" s="1">
        <v>44382</v>
      </c>
      <c r="F405" t="s">
        <v>15</v>
      </c>
      <c r="G405" s="2">
        <v>5</v>
      </c>
      <c r="H405" s="2"/>
      <c r="I405" t="s">
        <v>16</v>
      </c>
      <c r="J405" t="s">
        <v>17</v>
      </c>
      <c r="K405" t="s">
        <v>18</v>
      </c>
      <c r="L405" t="str">
        <f>TEXT(table1[[#This Row],[Date]],"MMM")</f>
        <v>Jul</v>
      </c>
      <c r="M405">
        <f>MONTH(table1[[#This Row],[Date]])</f>
        <v>7</v>
      </c>
      <c r="N405" t="str">
        <f>TEXT(table1[[#This Row],[Date]],"ddd")</f>
        <v>Mon</v>
      </c>
      <c r="O405" s="2">
        <f>table1[[#This Row],[Credit]]-table1[[#This Row],[Debit]]</f>
        <v>-5</v>
      </c>
    </row>
    <row r="406" spans="5:15" x14ac:dyDescent="0.25">
      <c r="E406" s="1">
        <v>44383</v>
      </c>
      <c r="F406" t="s">
        <v>15</v>
      </c>
      <c r="G406" s="2">
        <v>5</v>
      </c>
      <c r="H406" s="2"/>
      <c r="I406" t="s">
        <v>16</v>
      </c>
      <c r="J406" t="s">
        <v>17</v>
      </c>
      <c r="K406" t="s">
        <v>18</v>
      </c>
      <c r="L406" t="str">
        <f>TEXT(table1[[#This Row],[Date]],"MMM")</f>
        <v>Jul</v>
      </c>
      <c r="M406">
        <f>MONTH(table1[[#This Row],[Date]])</f>
        <v>7</v>
      </c>
      <c r="N406" t="str">
        <f>TEXT(table1[[#This Row],[Date]],"ddd")</f>
        <v>Tue</v>
      </c>
      <c r="O406" s="2">
        <f>table1[[#This Row],[Credit]]-table1[[#This Row],[Debit]]</f>
        <v>-5</v>
      </c>
    </row>
    <row r="407" spans="5:15" x14ac:dyDescent="0.25">
      <c r="E407" s="1">
        <v>44384</v>
      </c>
      <c r="F407" t="s">
        <v>15</v>
      </c>
      <c r="G407" s="2">
        <v>5</v>
      </c>
      <c r="H407" s="2"/>
      <c r="I407" t="s">
        <v>16</v>
      </c>
      <c r="J407" t="s">
        <v>17</v>
      </c>
      <c r="K407" t="s">
        <v>18</v>
      </c>
      <c r="L407" t="str">
        <f>TEXT(table1[[#This Row],[Date]],"MMM")</f>
        <v>Jul</v>
      </c>
      <c r="M407">
        <f>MONTH(table1[[#This Row],[Date]])</f>
        <v>7</v>
      </c>
      <c r="N407" t="str">
        <f>TEXT(table1[[#This Row],[Date]],"ddd")</f>
        <v>Wed</v>
      </c>
      <c r="O407" s="2">
        <f>table1[[#This Row],[Credit]]-table1[[#This Row],[Debit]]</f>
        <v>-5</v>
      </c>
    </row>
    <row r="408" spans="5:15" x14ac:dyDescent="0.25">
      <c r="E408" s="1">
        <v>44387</v>
      </c>
      <c r="F408" t="s">
        <v>15</v>
      </c>
      <c r="G408" s="2">
        <v>5</v>
      </c>
      <c r="H408" s="2"/>
      <c r="I408" t="s">
        <v>16</v>
      </c>
      <c r="J408" t="s">
        <v>17</v>
      </c>
      <c r="K408" t="s">
        <v>18</v>
      </c>
      <c r="L408" t="str">
        <f>TEXT(table1[[#This Row],[Date]],"MMM")</f>
        <v>Jul</v>
      </c>
      <c r="M408">
        <f>MONTH(table1[[#This Row],[Date]])</f>
        <v>7</v>
      </c>
      <c r="N408" t="str">
        <f>TEXT(table1[[#This Row],[Date]],"ddd")</f>
        <v>Sat</v>
      </c>
      <c r="O408" s="2">
        <f>table1[[#This Row],[Credit]]-table1[[#This Row],[Debit]]</f>
        <v>-5</v>
      </c>
    </row>
    <row r="409" spans="5:15" x14ac:dyDescent="0.25">
      <c r="E409" s="1">
        <v>44388</v>
      </c>
      <c r="F409" t="s">
        <v>15</v>
      </c>
      <c r="G409" s="2">
        <v>5</v>
      </c>
      <c r="H409" s="2"/>
      <c r="I409" t="s">
        <v>16</v>
      </c>
      <c r="J409" t="s">
        <v>17</v>
      </c>
      <c r="K409" t="s">
        <v>18</v>
      </c>
      <c r="L409" t="str">
        <f>TEXT(table1[[#This Row],[Date]],"MMM")</f>
        <v>Jul</v>
      </c>
      <c r="M409">
        <f>MONTH(table1[[#This Row],[Date]])</f>
        <v>7</v>
      </c>
      <c r="N409" t="str">
        <f>TEXT(table1[[#This Row],[Date]],"ddd")</f>
        <v>Sun</v>
      </c>
      <c r="O409" s="2">
        <f>table1[[#This Row],[Credit]]-table1[[#This Row],[Debit]]</f>
        <v>-5</v>
      </c>
    </row>
    <row r="410" spans="5:15" x14ac:dyDescent="0.25">
      <c r="E410" s="1">
        <v>44389</v>
      </c>
      <c r="F410" t="s">
        <v>15</v>
      </c>
      <c r="G410" s="2">
        <v>5</v>
      </c>
      <c r="H410" s="2"/>
      <c r="I410" t="s">
        <v>16</v>
      </c>
      <c r="J410" t="s">
        <v>17</v>
      </c>
      <c r="K410" t="s">
        <v>18</v>
      </c>
      <c r="L410" t="str">
        <f>TEXT(table1[[#This Row],[Date]],"MMM")</f>
        <v>Jul</v>
      </c>
      <c r="M410">
        <f>MONTH(table1[[#This Row],[Date]])</f>
        <v>7</v>
      </c>
      <c r="N410" t="str">
        <f>TEXT(table1[[#This Row],[Date]],"ddd")</f>
        <v>Mon</v>
      </c>
      <c r="O410" s="2">
        <f>table1[[#This Row],[Credit]]-table1[[#This Row],[Debit]]</f>
        <v>-5</v>
      </c>
    </row>
    <row r="411" spans="5:15" x14ac:dyDescent="0.25">
      <c r="E411" s="1">
        <v>44390</v>
      </c>
      <c r="F411" t="s">
        <v>15</v>
      </c>
      <c r="G411" s="2">
        <v>5</v>
      </c>
      <c r="H411" s="2"/>
      <c r="I411" t="s">
        <v>16</v>
      </c>
      <c r="J411" t="s">
        <v>17</v>
      </c>
      <c r="K411" t="s">
        <v>18</v>
      </c>
      <c r="L411" t="str">
        <f>TEXT(table1[[#This Row],[Date]],"MMM")</f>
        <v>Jul</v>
      </c>
      <c r="M411">
        <f>MONTH(table1[[#This Row],[Date]])</f>
        <v>7</v>
      </c>
      <c r="N411" t="str">
        <f>TEXT(table1[[#This Row],[Date]],"ddd")</f>
        <v>Tue</v>
      </c>
      <c r="O411" s="2">
        <f>table1[[#This Row],[Credit]]-table1[[#This Row],[Debit]]</f>
        <v>-5</v>
      </c>
    </row>
    <row r="412" spans="5:15" x14ac:dyDescent="0.25">
      <c r="E412" s="1">
        <v>44391</v>
      </c>
      <c r="F412" t="s">
        <v>15</v>
      </c>
      <c r="G412" s="2">
        <v>5</v>
      </c>
      <c r="H412" s="2"/>
      <c r="I412" t="s">
        <v>16</v>
      </c>
      <c r="J412" t="s">
        <v>17</v>
      </c>
      <c r="K412" t="s">
        <v>18</v>
      </c>
      <c r="L412" t="str">
        <f>TEXT(table1[[#This Row],[Date]],"MMM")</f>
        <v>Jul</v>
      </c>
      <c r="M412">
        <f>MONTH(table1[[#This Row],[Date]])</f>
        <v>7</v>
      </c>
      <c r="N412" t="str">
        <f>TEXT(table1[[#This Row],[Date]],"ddd")</f>
        <v>Wed</v>
      </c>
      <c r="O412" s="2">
        <f>table1[[#This Row],[Credit]]-table1[[#This Row],[Debit]]</f>
        <v>-5</v>
      </c>
    </row>
    <row r="413" spans="5:15" x14ac:dyDescent="0.25">
      <c r="E413" s="1">
        <v>44392</v>
      </c>
      <c r="F413" t="s">
        <v>15</v>
      </c>
      <c r="G413" s="2">
        <v>5</v>
      </c>
      <c r="H413" s="2"/>
      <c r="I413" t="s">
        <v>16</v>
      </c>
      <c r="J413" t="s">
        <v>17</v>
      </c>
      <c r="K413" t="s">
        <v>18</v>
      </c>
      <c r="L413" t="str">
        <f>TEXT(table1[[#This Row],[Date]],"MMM")</f>
        <v>Jul</v>
      </c>
      <c r="M413">
        <f>MONTH(table1[[#This Row],[Date]])</f>
        <v>7</v>
      </c>
      <c r="N413" t="str">
        <f>TEXT(table1[[#This Row],[Date]],"ddd")</f>
        <v>Thu</v>
      </c>
      <c r="O413" s="2">
        <f>table1[[#This Row],[Credit]]-table1[[#This Row],[Debit]]</f>
        <v>-5</v>
      </c>
    </row>
    <row r="414" spans="5:15" x14ac:dyDescent="0.25">
      <c r="E414" s="1">
        <v>44394</v>
      </c>
      <c r="F414" t="s">
        <v>15</v>
      </c>
      <c r="G414" s="2">
        <v>5</v>
      </c>
      <c r="H414" s="2"/>
      <c r="I414" t="s">
        <v>16</v>
      </c>
      <c r="J414" t="s">
        <v>17</v>
      </c>
      <c r="K414" t="s">
        <v>18</v>
      </c>
      <c r="L414" t="str">
        <f>TEXT(table1[[#This Row],[Date]],"MMM")</f>
        <v>Jul</v>
      </c>
      <c r="M414">
        <f>MONTH(table1[[#This Row],[Date]])</f>
        <v>7</v>
      </c>
      <c r="N414" t="str">
        <f>TEXT(table1[[#This Row],[Date]],"ddd")</f>
        <v>Sat</v>
      </c>
      <c r="O414" s="2">
        <f>table1[[#This Row],[Credit]]-table1[[#This Row],[Debit]]</f>
        <v>-5</v>
      </c>
    </row>
    <row r="415" spans="5:15" x14ac:dyDescent="0.25">
      <c r="E415" s="1">
        <v>44395</v>
      </c>
      <c r="F415" t="s">
        <v>15</v>
      </c>
      <c r="G415" s="2">
        <v>5</v>
      </c>
      <c r="H415" s="2"/>
      <c r="I415" t="s">
        <v>16</v>
      </c>
      <c r="J415" t="s">
        <v>17</v>
      </c>
      <c r="K415" t="s">
        <v>18</v>
      </c>
      <c r="L415" t="str">
        <f>TEXT(table1[[#This Row],[Date]],"MMM")</f>
        <v>Jul</v>
      </c>
      <c r="M415">
        <f>MONTH(table1[[#This Row],[Date]])</f>
        <v>7</v>
      </c>
      <c r="N415" t="str">
        <f>TEXT(table1[[#This Row],[Date]],"ddd")</f>
        <v>Sun</v>
      </c>
      <c r="O415" s="2">
        <f>table1[[#This Row],[Credit]]-table1[[#This Row],[Debit]]</f>
        <v>-5</v>
      </c>
    </row>
    <row r="416" spans="5:15" x14ac:dyDescent="0.25">
      <c r="E416" s="1">
        <v>44396</v>
      </c>
      <c r="F416" t="s">
        <v>15</v>
      </c>
      <c r="G416" s="2">
        <v>5</v>
      </c>
      <c r="H416" s="2"/>
      <c r="I416" t="s">
        <v>16</v>
      </c>
      <c r="J416" t="s">
        <v>17</v>
      </c>
      <c r="K416" t="s">
        <v>18</v>
      </c>
      <c r="L416" t="str">
        <f>TEXT(table1[[#This Row],[Date]],"MMM")</f>
        <v>Jul</v>
      </c>
      <c r="M416">
        <f>MONTH(table1[[#This Row],[Date]])</f>
        <v>7</v>
      </c>
      <c r="N416" t="str">
        <f>TEXT(table1[[#This Row],[Date]],"ddd")</f>
        <v>Mon</v>
      </c>
      <c r="O416" s="2">
        <f>table1[[#This Row],[Credit]]-table1[[#This Row],[Debit]]</f>
        <v>-5</v>
      </c>
    </row>
    <row r="417" spans="5:15" x14ac:dyDescent="0.25">
      <c r="E417" s="1">
        <v>44397</v>
      </c>
      <c r="F417" t="s">
        <v>15</v>
      </c>
      <c r="G417" s="2">
        <v>5</v>
      </c>
      <c r="H417" s="2"/>
      <c r="I417" t="s">
        <v>16</v>
      </c>
      <c r="J417" t="s">
        <v>17</v>
      </c>
      <c r="K417" t="s">
        <v>18</v>
      </c>
      <c r="L417" t="str">
        <f>TEXT(table1[[#This Row],[Date]],"MMM")</f>
        <v>Jul</v>
      </c>
      <c r="M417">
        <f>MONTH(table1[[#This Row],[Date]])</f>
        <v>7</v>
      </c>
      <c r="N417" t="str">
        <f>TEXT(table1[[#This Row],[Date]],"ddd")</f>
        <v>Tue</v>
      </c>
      <c r="O417" s="2">
        <f>table1[[#This Row],[Credit]]-table1[[#This Row],[Debit]]</f>
        <v>-5</v>
      </c>
    </row>
    <row r="418" spans="5:15" x14ac:dyDescent="0.25">
      <c r="E418" s="1">
        <v>44398</v>
      </c>
      <c r="F418" t="s">
        <v>15</v>
      </c>
      <c r="G418" s="2">
        <v>5</v>
      </c>
      <c r="H418" s="2"/>
      <c r="I418" t="s">
        <v>16</v>
      </c>
      <c r="J418" t="s">
        <v>17</v>
      </c>
      <c r="K418" t="s">
        <v>18</v>
      </c>
      <c r="L418" t="str">
        <f>TEXT(table1[[#This Row],[Date]],"MMM")</f>
        <v>Jul</v>
      </c>
      <c r="M418">
        <f>MONTH(table1[[#This Row],[Date]])</f>
        <v>7</v>
      </c>
      <c r="N418" t="str">
        <f>TEXT(table1[[#This Row],[Date]],"ddd")</f>
        <v>Wed</v>
      </c>
      <c r="O418" s="2">
        <f>table1[[#This Row],[Credit]]-table1[[#This Row],[Debit]]</f>
        <v>-5</v>
      </c>
    </row>
    <row r="419" spans="5:15" x14ac:dyDescent="0.25">
      <c r="E419" s="1">
        <v>44401</v>
      </c>
      <c r="F419" t="s">
        <v>15</v>
      </c>
      <c r="G419" s="2">
        <v>5</v>
      </c>
      <c r="H419" s="2"/>
      <c r="I419" t="s">
        <v>16</v>
      </c>
      <c r="J419" t="s">
        <v>17</v>
      </c>
      <c r="K419" t="s">
        <v>18</v>
      </c>
      <c r="L419" t="str">
        <f>TEXT(table1[[#This Row],[Date]],"MMM")</f>
        <v>Jul</v>
      </c>
      <c r="M419">
        <f>MONTH(table1[[#This Row],[Date]])</f>
        <v>7</v>
      </c>
      <c r="N419" t="str">
        <f>TEXT(table1[[#This Row],[Date]],"ddd")</f>
        <v>Sat</v>
      </c>
      <c r="O419" s="2">
        <f>table1[[#This Row],[Credit]]-table1[[#This Row],[Debit]]</f>
        <v>-5</v>
      </c>
    </row>
    <row r="420" spans="5:15" x14ac:dyDescent="0.25">
      <c r="E420" s="1">
        <v>44402</v>
      </c>
      <c r="F420" t="s">
        <v>15</v>
      </c>
      <c r="G420" s="2">
        <v>5</v>
      </c>
      <c r="H420" s="2"/>
      <c r="I420" t="s">
        <v>16</v>
      </c>
      <c r="J420" t="s">
        <v>17</v>
      </c>
      <c r="K420" t="s">
        <v>18</v>
      </c>
      <c r="L420" t="str">
        <f>TEXT(table1[[#This Row],[Date]],"MMM")</f>
        <v>Jul</v>
      </c>
      <c r="M420">
        <f>MONTH(table1[[#This Row],[Date]])</f>
        <v>7</v>
      </c>
      <c r="N420" t="str">
        <f>TEXT(table1[[#This Row],[Date]],"ddd")</f>
        <v>Sun</v>
      </c>
      <c r="O420" s="2">
        <f>table1[[#This Row],[Credit]]-table1[[#This Row],[Debit]]</f>
        <v>-5</v>
      </c>
    </row>
    <row r="421" spans="5:15" x14ac:dyDescent="0.25">
      <c r="E421" s="1">
        <v>44403</v>
      </c>
      <c r="F421" t="s">
        <v>15</v>
      </c>
      <c r="G421" s="2">
        <v>5</v>
      </c>
      <c r="H421" s="2"/>
      <c r="I421" t="s">
        <v>16</v>
      </c>
      <c r="J421" t="s">
        <v>17</v>
      </c>
      <c r="K421" t="s">
        <v>18</v>
      </c>
      <c r="L421" t="str">
        <f>TEXT(table1[[#This Row],[Date]],"MMM")</f>
        <v>Jul</v>
      </c>
      <c r="M421">
        <f>MONTH(table1[[#This Row],[Date]])</f>
        <v>7</v>
      </c>
      <c r="N421" t="str">
        <f>TEXT(table1[[#This Row],[Date]],"ddd")</f>
        <v>Mon</v>
      </c>
      <c r="O421" s="2">
        <f>table1[[#This Row],[Credit]]-table1[[#This Row],[Debit]]</f>
        <v>-5</v>
      </c>
    </row>
    <row r="422" spans="5:15" x14ac:dyDescent="0.25">
      <c r="E422" s="1">
        <v>44404</v>
      </c>
      <c r="F422" t="s">
        <v>15</v>
      </c>
      <c r="G422" s="2">
        <v>5</v>
      </c>
      <c r="H422" s="2"/>
      <c r="I422" t="s">
        <v>16</v>
      </c>
      <c r="J422" t="s">
        <v>17</v>
      </c>
      <c r="K422" t="s">
        <v>18</v>
      </c>
      <c r="L422" t="str">
        <f>TEXT(table1[[#This Row],[Date]],"MMM")</f>
        <v>Jul</v>
      </c>
      <c r="M422">
        <f>MONTH(table1[[#This Row],[Date]])</f>
        <v>7</v>
      </c>
      <c r="N422" t="str">
        <f>TEXT(table1[[#This Row],[Date]],"ddd")</f>
        <v>Tue</v>
      </c>
      <c r="O422" s="2">
        <f>table1[[#This Row],[Credit]]-table1[[#This Row],[Debit]]</f>
        <v>-5</v>
      </c>
    </row>
    <row r="423" spans="5:15" x14ac:dyDescent="0.25">
      <c r="E423" s="1">
        <v>44405</v>
      </c>
      <c r="F423" t="s">
        <v>15</v>
      </c>
      <c r="G423" s="2">
        <v>5</v>
      </c>
      <c r="H423" s="2"/>
      <c r="I423" t="s">
        <v>16</v>
      </c>
      <c r="J423" t="s">
        <v>17</v>
      </c>
      <c r="K423" t="s">
        <v>18</v>
      </c>
      <c r="L423" t="str">
        <f>TEXT(table1[[#This Row],[Date]],"MMM")</f>
        <v>Jul</v>
      </c>
      <c r="M423">
        <f>MONTH(table1[[#This Row],[Date]])</f>
        <v>7</v>
      </c>
      <c r="N423" t="str">
        <f>TEXT(table1[[#This Row],[Date]],"ddd")</f>
        <v>Wed</v>
      </c>
      <c r="O423" s="2">
        <f>table1[[#This Row],[Credit]]-table1[[#This Row],[Debit]]</f>
        <v>-5</v>
      </c>
    </row>
    <row r="424" spans="5:15" x14ac:dyDescent="0.25">
      <c r="E424" s="1">
        <v>44408</v>
      </c>
      <c r="F424" t="s">
        <v>15</v>
      </c>
      <c r="G424" s="2">
        <v>5</v>
      </c>
      <c r="H424" s="2"/>
      <c r="I424" t="s">
        <v>16</v>
      </c>
      <c r="J424" t="s">
        <v>17</v>
      </c>
      <c r="K424" t="s">
        <v>18</v>
      </c>
      <c r="L424" t="str">
        <f>TEXT(table1[[#This Row],[Date]],"MMM")</f>
        <v>Jul</v>
      </c>
      <c r="M424">
        <f>MONTH(table1[[#This Row],[Date]])</f>
        <v>7</v>
      </c>
      <c r="N424" t="str">
        <f>TEXT(table1[[#This Row],[Date]],"ddd")</f>
        <v>Sat</v>
      </c>
      <c r="O424" s="2">
        <f>table1[[#This Row],[Credit]]-table1[[#This Row],[Debit]]</f>
        <v>-5</v>
      </c>
    </row>
    <row r="425" spans="5:15" x14ac:dyDescent="0.25">
      <c r="E425" s="1">
        <v>44410</v>
      </c>
      <c r="F425" t="s">
        <v>15</v>
      </c>
      <c r="G425" s="2">
        <v>5</v>
      </c>
      <c r="H425" s="2"/>
      <c r="I425" t="s">
        <v>16</v>
      </c>
      <c r="J425" t="s">
        <v>17</v>
      </c>
      <c r="K425" t="s">
        <v>18</v>
      </c>
      <c r="L425" t="str">
        <f>TEXT(table1[[#This Row],[Date]],"MMM")</f>
        <v>Aug</v>
      </c>
      <c r="M425">
        <f>MONTH(table1[[#This Row],[Date]])</f>
        <v>8</v>
      </c>
      <c r="N425" t="str">
        <f>TEXT(table1[[#This Row],[Date]],"ddd")</f>
        <v>Mon</v>
      </c>
      <c r="O425" s="2">
        <f>table1[[#This Row],[Credit]]-table1[[#This Row],[Debit]]</f>
        <v>-5</v>
      </c>
    </row>
    <row r="426" spans="5:15" x14ac:dyDescent="0.25">
      <c r="E426" s="1">
        <v>44411</v>
      </c>
      <c r="F426" t="s">
        <v>15</v>
      </c>
      <c r="G426" s="2">
        <v>5</v>
      </c>
      <c r="H426" s="2"/>
      <c r="I426" t="s">
        <v>16</v>
      </c>
      <c r="J426" t="s">
        <v>17</v>
      </c>
      <c r="K426" t="s">
        <v>18</v>
      </c>
      <c r="L426" t="str">
        <f>TEXT(table1[[#This Row],[Date]],"MMM")</f>
        <v>Aug</v>
      </c>
      <c r="M426">
        <f>MONTH(table1[[#This Row],[Date]])</f>
        <v>8</v>
      </c>
      <c r="N426" t="str">
        <f>TEXT(table1[[#This Row],[Date]],"ddd")</f>
        <v>Tue</v>
      </c>
      <c r="O426" s="2">
        <f>table1[[#This Row],[Credit]]-table1[[#This Row],[Debit]]</f>
        <v>-5</v>
      </c>
    </row>
    <row r="427" spans="5:15" x14ac:dyDescent="0.25">
      <c r="E427" s="1">
        <v>44413</v>
      </c>
      <c r="F427" t="s">
        <v>15</v>
      </c>
      <c r="G427" s="2">
        <v>5</v>
      </c>
      <c r="H427" s="2"/>
      <c r="I427" t="s">
        <v>16</v>
      </c>
      <c r="J427" t="s">
        <v>17</v>
      </c>
      <c r="K427" t="s">
        <v>18</v>
      </c>
      <c r="L427" t="str">
        <f>TEXT(table1[[#This Row],[Date]],"MMM")</f>
        <v>Aug</v>
      </c>
      <c r="M427">
        <f>MONTH(table1[[#This Row],[Date]])</f>
        <v>8</v>
      </c>
      <c r="N427" t="str">
        <f>TEXT(table1[[#This Row],[Date]],"ddd")</f>
        <v>Thu</v>
      </c>
      <c r="O427" s="2">
        <f>table1[[#This Row],[Credit]]-table1[[#This Row],[Debit]]</f>
        <v>-5</v>
      </c>
    </row>
    <row r="428" spans="5:15" x14ac:dyDescent="0.25">
      <c r="E428" s="1">
        <v>44413</v>
      </c>
      <c r="F428" t="s">
        <v>15</v>
      </c>
      <c r="G428" s="2">
        <v>5</v>
      </c>
      <c r="H428" s="2"/>
      <c r="I428" t="s">
        <v>16</v>
      </c>
      <c r="J428" t="s">
        <v>17</v>
      </c>
      <c r="K428" t="s">
        <v>18</v>
      </c>
      <c r="L428" t="str">
        <f>TEXT(table1[[#This Row],[Date]],"MMM")</f>
        <v>Aug</v>
      </c>
      <c r="M428">
        <f>MONTH(table1[[#This Row],[Date]])</f>
        <v>8</v>
      </c>
      <c r="N428" t="str">
        <f>TEXT(table1[[#This Row],[Date]],"ddd")</f>
        <v>Thu</v>
      </c>
      <c r="O428" s="2">
        <f>table1[[#This Row],[Credit]]-table1[[#This Row],[Debit]]</f>
        <v>-5</v>
      </c>
    </row>
    <row r="429" spans="5:15" x14ac:dyDescent="0.25">
      <c r="E429" s="1">
        <v>44414</v>
      </c>
      <c r="F429" t="s">
        <v>15</v>
      </c>
      <c r="G429" s="2">
        <v>5</v>
      </c>
      <c r="H429" s="2"/>
      <c r="I429" t="s">
        <v>16</v>
      </c>
      <c r="J429" t="s">
        <v>17</v>
      </c>
      <c r="K429" t="s">
        <v>18</v>
      </c>
      <c r="L429" t="str">
        <f>TEXT(table1[[#This Row],[Date]],"MMM")</f>
        <v>Aug</v>
      </c>
      <c r="M429">
        <f>MONTH(table1[[#This Row],[Date]])</f>
        <v>8</v>
      </c>
      <c r="N429" t="str">
        <f>TEXT(table1[[#This Row],[Date]],"ddd")</f>
        <v>Fri</v>
      </c>
      <c r="O429" s="2">
        <f>table1[[#This Row],[Credit]]-table1[[#This Row],[Debit]]</f>
        <v>-5</v>
      </c>
    </row>
    <row r="430" spans="5:15" x14ac:dyDescent="0.25">
      <c r="E430" s="1">
        <v>44415</v>
      </c>
      <c r="F430" t="s">
        <v>15</v>
      </c>
      <c r="G430" s="2">
        <v>5</v>
      </c>
      <c r="H430" s="2"/>
      <c r="I430" t="s">
        <v>16</v>
      </c>
      <c r="J430" t="s">
        <v>17</v>
      </c>
      <c r="K430" t="s">
        <v>18</v>
      </c>
      <c r="L430" t="str">
        <f>TEXT(table1[[#This Row],[Date]],"MMM")</f>
        <v>Aug</v>
      </c>
      <c r="M430">
        <f>MONTH(table1[[#This Row],[Date]])</f>
        <v>8</v>
      </c>
      <c r="N430" t="str">
        <f>TEXT(table1[[#This Row],[Date]],"ddd")</f>
        <v>Sat</v>
      </c>
      <c r="O430" s="2">
        <f>table1[[#This Row],[Credit]]-table1[[#This Row],[Debit]]</f>
        <v>-5</v>
      </c>
    </row>
    <row r="431" spans="5:15" x14ac:dyDescent="0.25">
      <c r="E431" s="1">
        <v>44418</v>
      </c>
      <c r="F431" t="s">
        <v>15</v>
      </c>
      <c r="G431" s="2">
        <v>5</v>
      </c>
      <c r="H431" s="2"/>
      <c r="I431" t="s">
        <v>16</v>
      </c>
      <c r="J431" t="s">
        <v>17</v>
      </c>
      <c r="K431" t="s">
        <v>18</v>
      </c>
      <c r="L431" t="str">
        <f>TEXT(table1[[#This Row],[Date]],"MMM")</f>
        <v>Aug</v>
      </c>
      <c r="M431">
        <f>MONTH(table1[[#This Row],[Date]])</f>
        <v>8</v>
      </c>
      <c r="N431" t="str">
        <f>TEXT(table1[[#This Row],[Date]],"ddd")</f>
        <v>Tue</v>
      </c>
      <c r="O431" s="2">
        <f>table1[[#This Row],[Credit]]-table1[[#This Row],[Debit]]</f>
        <v>-5</v>
      </c>
    </row>
    <row r="432" spans="5:15" x14ac:dyDescent="0.25">
      <c r="E432" s="1">
        <v>44419</v>
      </c>
      <c r="F432" t="s">
        <v>15</v>
      </c>
      <c r="G432" s="2">
        <v>5</v>
      </c>
      <c r="H432" s="2"/>
      <c r="I432" t="s">
        <v>16</v>
      </c>
      <c r="J432" t="s">
        <v>17</v>
      </c>
      <c r="K432" t="s">
        <v>18</v>
      </c>
      <c r="L432" t="str">
        <f>TEXT(table1[[#This Row],[Date]],"MMM")</f>
        <v>Aug</v>
      </c>
      <c r="M432">
        <f>MONTH(table1[[#This Row],[Date]])</f>
        <v>8</v>
      </c>
      <c r="N432" t="str">
        <f>TEXT(table1[[#This Row],[Date]],"ddd")</f>
        <v>Wed</v>
      </c>
      <c r="O432" s="2">
        <f>table1[[#This Row],[Credit]]-table1[[#This Row],[Debit]]</f>
        <v>-5</v>
      </c>
    </row>
    <row r="433" spans="5:15" x14ac:dyDescent="0.25">
      <c r="E433" s="1">
        <v>44420</v>
      </c>
      <c r="F433" t="s">
        <v>15</v>
      </c>
      <c r="G433" s="2">
        <v>5</v>
      </c>
      <c r="H433" s="2"/>
      <c r="I433" t="s">
        <v>16</v>
      </c>
      <c r="J433" t="s">
        <v>17</v>
      </c>
      <c r="K433" t="s">
        <v>18</v>
      </c>
      <c r="L433" t="str">
        <f>TEXT(table1[[#This Row],[Date]],"MMM")</f>
        <v>Aug</v>
      </c>
      <c r="M433">
        <f>MONTH(table1[[#This Row],[Date]])</f>
        <v>8</v>
      </c>
      <c r="N433" t="str">
        <f>TEXT(table1[[#This Row],[Date]],"ddd")</f>
        <v>Thu</v>
      </c>
      <c r="O433" s="2">
        <f>table1[[#This Row],[Credit]]-table1[[#This Row],[Debit]]</f>
        <v>-5</v>
      </c>
    </row>
    <row r="434" spans="5:15" x14ac:dyDescent="0.25">
      <c r="E434" s="1">
        <v>44421</v>
      </c>
      <c r="F434" t="s">
        <v>15</v>
      </c>
      <c r="G434" s="2">
        <v>5</v>
      </c>
      <c r="H434" s="2"/>
      <c r="I434" t="s">
        <v>16</v>
      </c>
      <c r="J434" t="s">
        <v>17</v>
      </c>
      <c r="K434" t="s">
        <v>18</v>
      </c>
      <c r="L434" t="str">
        <f>TEXT(table1[[#This Row],[Date]],"MMM")</f>
        <v>Aug</v>
      </c>
      <c r="M434">
        <f>MONTH(table1[[#This Row],[Date]])</f>
        <v>8</v>
      </c>
      <c r="N434" t="str">
        <f>TEXT(table1[[#This Row],[Date]],"ddd")</f>
        <v>Fri</v>
      </c>
      <c r="O434" s="2">
        <f>table1[[#This Row],[Credit]]-table1[[#This Row],[Debit]]</f>
        <v>-5</v>
      </c>
    </row>
    <row r="435" spans="5:15" x14ac:dyDescent="0.25">
      <c r="E435" s="1">
        <v>44422</v>
      </c>
      <c r="F435" t="s">
        <v>15</v>
      </c>
      <c r="G435" s="2">
        <v>5</v>
      </c>
      <c r="H435" s="2"/>
      <c r="I435" t="s">
        <v>16</v>
      </c>
      <c r="J435" t="s">
        <v>17</v>
      </c>
      <c r="K435" t="s">
        <v>18</v>
      </c>
      <c r="L435" t="str">
        <f>TEXT(table1[[#This Row],[Date]],"MMM")</f>
        <v>Aug</v>
      </c>
      <c r="M435">
        <f>MONTH(table1[[#This Row],[Date]])</f>
        <v>8</v>
      </c>
      <c r="N435" t="str">
        <f>TEXT(table1[[#This Row],[Date]],"ddd")</f>
        <v>Sat</v>
      </c>
      <c r="O435" s="2">
        <f>table1[[#This Row],[Credit]]-table1[[#This Row],[Debit]]</f>
        <v>-5</v>
      </c>
    </row>
    <row r="436" spans="5:15" x14ac:dyDescent="0.25">
      <c r="E436" s="1">
        <v>44423</v>
      </c>
      <c r="F436" t="s">
        <v>15</v>
      </c>
      <c r="G436" s="2">
        <v>5</v>
      </c>
      <c r="H436" s="2"/>
      <c r="I436" t="s">
        <v>16</v>
      </c>
      <c r="J436" t="s">
        <v>17</v>
      </c>
      <c r="K436" t="s">
        <v>18</v>
      </c>
      <c r="L436" t="str">
        <f>TEXT(table1[[#This Row],[Date]],"MMM")</f>
        <v>Aug</v>
      </c>
      <c r="M436">
        <f>MONTH(table1[[#This Row],[Date]])</f>
        <v>8</v>
      </c>
      <c r="N436" t="str">
        <f>TEXT(table1[[#This Row],[Date]],"ddd")</f>
        <v>Sun</v>
      </c>
      <c r="O436" s="2">
        <f>table1[[#This Row],[Credit]]-table1[[#This Row],[Debit]]</f>
        <v>-5</v>
      </c>
    </row>
    <row r="437" spans="5:15" x14ac:dyDescent="0.25">
      <c r="E437" s="1">
        <v>44425</v>
      </c>
      <c r="F437" t="s">
        <v>15</v>
      </c>
      <c r="G437" s="2">
        <v>5</v>
      </c>
      <c r="H437" s="2"/>
      <c r="I437" t="s">
        <v>16</v>
      </c>
      <c r="J437" t="s">
        <v>17</v>
      </c>
      <c r="K437" t="s">
        <v>18</v>
      </c>
      <c r="L437" t="str">
        <f>TEXT(table1[[#This Row],[Date]],"MMM")</f>
        <v>Aug</v>
      </c>
      <c r="M437">
        <f>MONTH(table1[[#This Row],[Date]])</f>
        <v>8</v>
      </c>
      <c r="N437" t="str">
        <f>TEXT(table1[[#This Row],[Date]],"ddd")</f>
        <v>Tue</v>
      </c>
      <c r="O437" s="2">
        <f>table1[[#This Row],[Credit]]-table1[[#This Row],[Debit]]</f>
        <v>-5</v>
      </c>
    </row>
    <row r="438" spans="5:15" x14ac:dyDescent="0.25">
      <c r="E438" s="1">
        <v>44426</v>
      </c>
      <c r="F438" t="s">
        <v>15</v>
      </c>
      <c r="G438" s="2">
        <v>5</v>
      </c>
      <c r="H438" s="2"/>
      <c r="I438" t="s">
        <v>16</v>
      </c>
      <c r="J438" t="s">
        <v>17</v>
      </c>
      <c r="K438" t="s">
        <v>18</v>
      </c>
      <c r="L438" t="str">
        <f>TEXT(table1[[#This Row],[Date]],"MMM")</f>
        <v>Aug</v>
      </c>
      <c r="M438">
        <f>MONTH(table1[[#This Row],[Date]])</f>
        <v>8</v>
      </c>
      <c r="N438" t="str">
        <f>TEXT(table1[[#This Row],[Date]],"ddd")</f>
        <v>Wed</v>
      </c>
      <c r="O438" s="2">
        <f>table1[[#This Row],[Credit]]-table1[[#This Row],[Debit]]</f>
        <v>-5</v>
      </c>
    </row>
    <row r="439" spans="5:15" x14ac:dyDescent="0.25">
      <c r="E439" s="1">
        <v>44427</v>
      </c>
      <c r="F439" t="s">
        <v>15</v>
      </c>
      <c r="G439" s="2">
        <v>5</v>
      </c>
      <c r="H439" s="2"/>
      <c r="I439" t="s">
        <v>16</v>
      </c>
      <c r="J439" t="s">
        <v>17</v>
      </c>
      <c r="K439" t="s">
        <v>18</v>
      </c>
      <c r="L439" t="str">
        <f>TEXT(table1[[#This Row],[Date]],"MMM")</f>
        <v>Aug</v>
      </c>
      <c r="M439">
        <f>MONTH(table1[[#This Row],[Date]])</f>
        <v>8</v>
      </c>
      <c r="N439" t="str">
        <f>TEXT(table1[[#This Row],[Date]],"ddd")</f>
        <v>Thu</v>
      </c>
      <c r="O439" s="2">
        <f>table1[[#This Row],[Credit]]-table1[[#This Row],[Debit]]</f>
        <v>-5</v>
      </c>
    </row>
    <row r="440" spans="5:15" x14ac:dyDescent="0.25">
      <c r="E440" s="1">
        <v>44428</v>
      </c>
      <c r="F440" t="s">
        <v>15</v>
      </c>
      <c r="G440" s="2">
        <v>5</v>
      </c>
      <c r="H440" s="2"/>
      <c r="I440" t="s">
        <v>16</v>
      </c>
      <c r="J440" t="s">
        <v>17</v>
      </c>
      <c r="K440" t="s">
        <v>18</v>
      </c>
      <c r="L440" t="str">
        <f>TEXT(table1[[#This Row],[Date]],"MMM")</f>
        <v>Aug</v>
      </c>
      <c r="M440">
        <f>MONTH(table1[[#This Row],[Date]])</f>
        <v>8</v>
      </c>
      <c r="N440" t="str">
        <f>TEXT(table1[[#This Row],[Date]],"ddd")</f>
        <v>Fri</v>
      </c>
      <c r="O440" s="2">
        <f>table1[[#This Row],[Credit]]-table1[[#This Row],[Debit]]</f>
        <v>-5</v>
      </c>
    </row>
    <row r="441" spans="5:15" x14ac:dyDescent="0.25">
      <c r="E441" s="1">
        <v>44429</v>
      </c>
      <c r="F441" t="s">
        <v>15</v>
      </c>
      <c r="G441" s="2">
        <v>5</v>
      </c>
      <c r="H441" s="2"/>
      <c r="I441" t="s">
        <v>16</v>
      </c>
      <c r="J441" t="s">
        <v>17</v>
      </c>
      <c r="K441" t="s">
        <v>18</v>
      </c>
      <c r="L441" t="str">
        <f>TEXT(table1[[#This Row],[Date]],"MMM")</f>
        <v>Aug</v>
      </c>
      <c r="M441">
        <f>MONTH(table1[[#This Row],[Date]])</f>
        <v>8</v>
      </c>
      <c r="N441" t="str">
        <f>TEXT(table1[[#This Row],[Date]],"ddd")</f>
        <v>Sat</v>
      </c>
      <c r="O441" s="2">
        <f>table1[[#This Row],[Credit]]-table1[[#This Row],[Debit]]</f>
        <v>-5</v>
      </c>
    </row>
    <row r="442" spans="5:15" x14ac:dyDescent="0.25">
      <c r="E442" s="1">
        <v>44432</v>
      </c>
      <c r="F442" t="s">
        <v>15</v>
      </c>
      <c r="G442" s="2">
        <v>5</v>
      </c>
      <c r="H442" s="2"/>
      <c r="I442" t="s">
        <v>16</v>
      </c>
      <c r="J442" t="s">
        <v>17</v>
      </c>
      <c r="K442" t="s">
        <v>18</v>
      </c>
      <c r="L442" t="str">
        <f>TEXT(table1[[#This Row],[Date]],"MMM")</f>
        <v>Aug</v>
      </c>
      <c r="M442">
        <f>MONTH(table1[[#This Row],[Date]])</f>
        <v>8</v>
      </c>
      <c r="N442" t="str">
        <f>TEXT(table1[[#This Row],[Date]],"ddd")</f>
        <v>Tue</v>
      </c>
      <c r="O442" s="2">
        <f>table1[[#This Row],[Credit]]-table1[[#This Row],[Debit]]</f>
        <v>-5</v>
      </c>
    </row>
    <row r="443" spans="5:15" x14ac:dyDescent="0.25">
      <c r="E443" s="1">
        <v>44433</v>
      </c>
      <c r="F443" t="s">
        <v>15</v>
      </c>
      <c r="G443" s="2">
        <v>5</v>
      </c>
      <c r="H443" s="2"/>
      <c r="I443" t="s">
        <v>16</v>
      </c>
      <c r="J443" t="s">
        <v>17</v>
      </c>
      <c r="K443" t="s">
        <v>18</v>
      </c>
      <c r="L443" t="str">
        <f>TEXT(table1[[#This Row],[Date]],"MMM")</f>
        <v>Aug</v>
      </c>
      <c r="M443">
        <f>MONTH(table1[[#This Row],[Date]])</f>
        <v>8</v>
      </c>
      <c r="N443" t="str">
        <f>TEXT(table1[[#This Row],[Date]],"ddd")</f>
        <v>Wed</v>
      </c>
      <c r="O443" s="2">
        <f>table1[[#This Row],[Credit]]-table1[[#This Row],[Debit]]</f>
        <v>-5</v>
      </c>
    </row>
    <row r="444" spans="5:15" x14ac:dyDescent="0.25">
      <c r="E444" s="1">
        <v>44434</v>
      </c>
      <c r="F444" t="s">
        <v>15</v>
      </c>
      <c r="G444" s="2">
        <v>5</v>
      </c>
      <c r="H444" s="2"/>
      <c r="I444" t="s">
        <v>16</v>
      </c>
      <c r="J444" t="s">
        <v>17</v>
      </c>
      <c r="K444" t="s">
        <v>18</v>
      </c>
      <c r="L444" t="str">
        <f>TEXT(table1[[#This Row],[Date]],"MMM")</f>
        <v>Aug</v>
      </c>
      <c r="M444">
        <f>MONTH(table1[[#This Row],[Date]])</f>
        <v>8</v>
      </c>
      <c r="N444" t="str">
        <f>TEXT(table1[[#This Row],[Date]],"ddd")</f>
        <v>Thu</v>
      </c>
      <c r="O444" s="2">
        <f>table1[[#This Row],[Credit]]-table1[[#This Row],[Debit]]</f>
        <v>-5</v>
      </c>
    </row>
    <row r="445" spans="5:15" x14ac:dyDescent="0.25">
      <c r="E445" s="1">
        <v>44435</v>
      </c>
      <c r="F445" t="s">
        <v>15</v>
      </c>
      <c r="G445" s="2">
        <v>5</v>
      </c>
      <c r="H445" s="2"/>
      <c r="I445" t="s">
        <v>16</v>
      </c>
      <c r="J445" t="s">
        <v>17</v>
      </c>
      <c r="K445" t="s">
        <v>18</v>
      </c>
      <c r="L445" t="str">
        <f>TEXT(table1[[#This Row],[Date]],"MMM")</f>
        <v>Aug</v>
      </c>
      <c r="M445">
        <f>MONTH(table1[[#This Row],[Date]])</f>
        <v>8</v>
      </c>
      <c r="N445" t="str">
        <f>TEXT(table1[[#This Row],[Date]],"ddd")</f>
        <v>Fri</v>
      </c>
      <c r="O445" s="2">
        <f>table1[[#This Row],[Credit]]-table1[[#This Row],[Debit]]</f>
        <v>-5</v>
      </c>
    </row>
    <row r="446" spans="5:15" x14ac:dyDescent="0.25">
      <c r="E446" s="1">
        <v>44436</v>
      </c>
      <c r="F446" t="s">
        <v>15</v>
      </c>
      <c r="G446" s="2">
        <v>5</v>
      </c>
      <c r="H446" s="2"/>
      <c r="I446" t="s">
        <v>16</v>
      </c>
      <c r="J446" t="s">
        <v>17</v>
      </c>
      <c r="K446" t="s">
        <v>18</v>
      </c>
      <c r="L446" t="str">
        <f>TEXT(table1[[#This Row],[Date]],"MMM")</f>
        <v>Aug</v>
      </c>
      <c r="M446">
        <f>MONTH(table1[[#This Row],[Date]])</f>
        <v>8</v>
      </c>
      <c r="N446" t="str">
        <f>TEXT(table1[[#This Row],[Date]],"ddd")</f>
        <v>Sat</v>
      </c>
      <c r="O446" s="2">
        <f>table1[[#This Row],[Credit]]-table1[[#This Row],[Debit]]</f>
        <v>-5</v>
      </c>
    </row>
    <row r="447" spans="5:15" x14ac:dyDescent="0.25">
      <c r="E447" s="1">
        <v>44439</v>
      </c>
      <c r="F447" t="s">
        <v>15</v>
      </c>
      <c r="G447" s="2">
        <v>5</v>
      </c>
      <c r="H447" s="2"/>
      <c r="I447" t="s">
        <v>16</v>
      </c>
      <c r="J447" t="s">
        <v>17</v>
      </c>
      <c r="K447" t="s">
        <v>18</v>
      </c>
      <c r="L447" t="str">
        <f>TEXT(table1[[#This Row],[Date]],"MMM")</f>
        <v>Aug</v>
      </c>
      <c r="M447">
        <f>MONTH(table1[[#This Row],[Date]])</f>
        <v>8</v>
      </c>
      <c r="N447" t="str">
        <f>TEXT(table1[[#This Row],[Date]],"ddd")</f>
        <v>Tue</v>
      </c>
      <c r="O447" s="2">
        <f>table1[[#This Row],[Credit]]-table1[[#This Row],[Debit]]</f>
        <v>-5</v>
      </c>
    </row>
    <row r="448" spans="5:15" x14ac:dyDescent="0.25">
      <c r="E448" s="1">
        <v>44441</v>
      </c>
      <c r="F448" t="s">
        <v>15</v>
      </c>
      <c r="G448" s="2">
        <v>5</v>
      </c>
      <c r="H448" s="2"/>
      <c r="I448" t="s">
        <v>16</v>
      </c>
      <c r="J448" t="s">
        <v>17</v>
      </c>
      <c r="K448" t="s">
        <v>18</v>
      </c>
      <c r="L448" t="str">
        <f>TEXT(table1[[#This Row],[Date]],"MMM")</f>
        <v>Sep</v>
      </c>
      <c r="M448">
        <f>MONTH(table1[[#This Row],[Date]])</f>
        <v>9</v>
      </c>
      <c r="N448" t="str">
        <f>TEXT(table1[[#This Row],[Date]],"ddd")</f>
        <v>Thu</v>
      </c>
      <c r="O448" s="2">
        <f>table1[[#This Row],[Credit]]-table1[[#This Row],[Debit]]</f>
        <v>-5</v>
      </c>
    </row>
    <row r="449" spans="5:15" x14ac:dyDescent="0.25">
      <c r="E449" s="1">
        <v>44442</v>
      </c>
      <c r="F449" t="s">
        <v>15</v>
      </c>
      <c r="G449" s="2">
        <v>5</v>
      </c>
      <c r="H449" s="2"/>
      <c r="I449" t="s">
        <v>16</v>
      </c>
      <c r="J449" t="s">
        <v>17</v>
      </c>
      <c r="K449" t="s">
        <v>18</v>
      </c>
      <c r="L449" t="str">
        <f>TEXT(table1[[#This Row],[Date]],"MMM")</f>
        <v>Sep</v>
      </c>
      <c r="M449">
        <f>MONTH(table1[[#This Row],[Date]])</f>
        <v>9</v>
      </c>
      <c r="N449" t="str">
        <f>TEXT(table1[[#This Row],[Date]],"ddd")</f>
        <v>Fri</v>
      </c>
      <c r="O449" s="2">
        <f>table1[[#This Row],[Credit]]-table1[[#This Row],[Debit]]</f>
        <v>-5</v>
      </c>
    </row>
    <row r="450" spans="5:15" x14ac:dyDescent="0.25">
      <c r="E450" s="1">
        <v>44444</v>
      </c>
      <c r="F450" t="s">
        <v>15</v>
      </c>
      <c r="G450" s="2">
        <v>5</v>
      </c>
      <c r="H450" s="2"/>
      <c r="I450" t="s">
        <v>16</v>
      </c>
      <c r="J450" t="s">
        <v>17</v>
      </c>
      <c r="K450" t="s">
        <v>18</v>
      </c>
      <c r="L450" t="str">
        <f>TEXT(table1[[#This Row],[Date]],"MMM")</f>
        <v>Sep</v>
      </c>
      <c r="M450">
        <f>MONTH(table1[[#This Row],[Date]])</f>
        <v>9</v>
      </c>
      <c r="N450" t="str">
        <f>TEXT(table1[[#This Row],[Date]],"ddd")</f>
        <v>Sun</v>
      </c>
      <c r="O450" s="2">
        <f>table1[[#This Row],[Credit]]-table1[[#This Row],[Debit]]</f>
        <v>-5</v>
      </c>
    </row>
    <row r="451" spans="5:15" x14ac:dyDescent="0.25">
      <c r="E451" s="1">
        <v>44444</v>
      </c>
      <c r="F451" t="s">
        <v>15</v>
      </c>
      <c r="G451" s="2">
        <v>5</v>
      </c>
      <c r="H451" s="2"/>
      <c r="I451" t="s">
        <v>16</v>
      </c>
      <c r="J451" t="s">
        <v>17</v>
      </c>
      <c r="K451" t="s">
        <v>18</v>
      </c>
      <c r="L451" t="str">
        <f>TEXT(table1[[#This Row],[Date]],"MMM")</f>
        <v>Sep</v>
      </c>
      <c r="M451">
        <f>MONTH(table1[[#This Row],[Date]])</f>
        <v>9</v>
      </c>
      <c r="N451" t="str">
        <f>TEXT(table1[[#This Row],[Date]],"ddd")</f>
        <v>Sun</v>
      </c>
      <c r="O451" s="2">
        <f>table1[[#This Row],[Credit]]-table1[[#This Row],[Debit]]</f>
        <v>-5</v>
      </c>
    </row>
    <row r="452" spans="5:15" x14ac:dyDescent="0.25">
      <c r="E452" s="1">
        <v>44445</v>
      </c>
      <c r="F452" t="s">
        <v>15</v>
      </c>
      <c r="G452" s="2">
        <v>5</v>
      </c>
      <c r="H452" s="2"/>
      <c r="I452" t="s">
        <v>16</v>
      </c>
      <c r="J452" t="s">
        <v>17</v>
      </c>
      <c r="K452" t="s">
        <v>18</v>
      </c>
      <c r="L452" t="str">
        <f>TEXT(table1[[#This Row],[Date]],"MMM")</f>
        <v>Sep</v>
      </c>
      <c r="M452">
        <f>MONTH(table1[[#This Row],[Date]])</f>
        <v>9</v>
      </c>
      <c r="N452" t="str">
        <f>TEXT(table1[[#This Row],[Date]],"ddd")</f>
        <v>Mon</v>
      </c>
      <c r="O452" s="2">
        <f>table1[[#This Row],[Credit]]-table1[[#This Row],[Debit]]</f>
        <v>-5</v>
      </c>
    </row>
    <row r="453" spans="5:15" x14ac:dyDescent="0.25">
      <c r="E453" s="1">
        <v>44446</v>
      </c>
      <c r="F453" t="s">
        <v>15</v>
      </c>
      <c r="G453" s="2">
        <v>5</v>
      </c>
      <c r="H453" s="2"/>
      <c r="I453" t="s">
        <v>16</v>
      </c>
      <c r="J453" t="s">
        <v>17</v>
      </c>
      <c r="K453" t="s">
        <v>18</v>
      </c>
      <c r="L453" t="str">
        <f>TEXT(table1[[#This Row],[Date]],"MMM")</f>
        <v>Sep</v>
      </c>
      <c r="M453">
        <f>MONTH(table1[[#This Row],[Date]])</f>
        <v>9</v>
      </c>
      <c r="N453" t="str">
        <f>TEXT(table1[[#This Row],[Date]],"ddd")</f>
        <v>Tue</v>
      </c>
      <c r="O453" s="2">
        <f>table1[[#This Row],[Credit]]-table1[[#This Row],[Debit]]</f>
        <v>-5</v>
      </c>
    </row>
    <row r="454" spans="5:15" x14ac:dyDescent="0.25">
      <c r="E454" s="1">
        <v>44449</v>
      </c>
      <c r="F454" t="s">
        <v>15</v>
      </c>
      <c r="G454" s="2">
        <v>5</v>
      </c>
      <c r="H454" s="2"/>
      <c r="I454" t="s">
        <v>16</v>
      </c>
      <c r="J454" t="s">
        <v>17</v>
      </c>
      <c r="K454" t="s">
        <v>18</v>
      </c>
      <c r="L454" t="str">
        <f>TEXT(table1[[#This Row],[Date]],"MMM")</f>
        <v>Sep</v>
      </c>
      <c r="M454">
        <f>MONTH(table1[[#This Row],[Date]])</f>
        <v>9</v>
      </c>
      <c r="N454" t="str">
        <f>TEXT(table1[[#This Row],[Date]],"ddd")</f>
        <v>Fri</v>
      </c>
      <c r="O454" s="2">
        <f>table1[[#This Row],[Credit]]-table1[[#This Row],[Debit]]</f>
        <v>-5</v>
      </c>
    </row>
    <row r="455" spans="5:15" x14ac:dyDescent="0.25">
      <c r="E455" s="1">
        <v>44450</v>
      </c>
      <c r="F455" t="s">
        <v>15</v>
      </c>
      <c r="G455" s="2">
        <v>5</v>
      </c>
      <c r="H455" s="2"/>
      <c r="I455" t="s">
        <v>16</v>
      </c>
      <c r="J455" t="s">
        <v>17</v>
      </c>
      <c r="K455" t="s">
        <v>18</v>
      </c>
      <c r="L455" t="str">
        <f>TEXT(table1[[#This Row],[Date]],"MMM")</f>
        <v>Sep</v>
      </c>
      <c r="M455">
        <f>MONTH(table1[[#This Row],[Date]])</f>
        <v>9</v>
      </c>
      <c r="N455" t="str">
        <f>TEXT(table1[[#This Row],[Date]],"ddd")</f>
        <v>Sat</v>
      </c>
      <c r="O455" s="2">
        <f>table1[[#This Row],[Credit]]-table1[[#This Row],[Debit]]</f>
        <v>-5</v>
      </c>
    </row>
    <row r="456" spans="5:15" x14ac:dyDescent="0.25">
      <c r="E456" s="1">
        <v>44451</v>
      </c>
      <c r="F456" t="s">
        <v>15</v>
      </c>
      <c r="G456" s="2">
        <v>5</v>
      </c>
      <c r="H456" s="2"/>
      <c r="I456" t="s">
        <v>16</v>
      </c>
      <c r="J456" t="s">
        <v>17</v>
      </c>
      <c r="K456" t="s">
        <v>18</v>
      </c>
      <c r="L456" t="str">
        <f>TEXT(table1[[#This Row],[Date]],"MMM")</f>
        <v>Sep</v>
      </c>
      <c r="M456">
        <f>MONTH(table1[[#This Row],[Date]])</f>
        <v>9</v>
      </c>
      <c r="N456" t="str">
        <f>TEXT(table1[[#This Row],[Date]],"ddd")</f>
        <v>Sun</v>
      </c>
      <c r="O456" s="2">
        <f>table1[[#This Row],[Credit]]-table1[[#This Row],[Debit]]</f>
        <v>-5</v>
      </c>
    </row>
    <row r="457" spans="5:15" x14ac:dyDescent="0.25">
      <c r="E457" s="1">
        <v>44452</v>
      </c>
      <c r="F457" t="s">
        <v>15</v>
      </c>
      <c r="G457" s="2">
        <v>5</v>
      </c>
      <c r="H457" s="2"/>
      <c r="I457" t="s">
        <v>16</v>
      </c>
      <c r="J457" t="s">
        <v>17</v>
      </c>
      <c r="K457" t="s">
        <v>18</v>
      </c>
      <c r="L457" t="str">
        <f>TEXT(table1[[#This Row],[Date]],"MMM")</f>
        <v>Sep</v>
      </c>
      <c r="M457">
        <f>MONTH(table1[[#This Row],[Date]])</f>
        <v>9</v>
      </c>
      <c r="N457" t="str">
        <f>TEXT(table1[[#This Row],[Date]],"ddd")</f>
        <v>Mon</v>
      </c>
      <c r="O457" s="2">
        <f>table1[[#This Row],[Credit]]-table1[[#This Row],[Debit]]</f>
        <v>-5</v>
      </c>
    </row>
    <row r="458" spans="5:15" x14ac:dyDescent="0.25">
      <c r="E458" s="1">
        <v>44453</v>
      </c>
      <c r="F458" t="s">
        <v>15</v>
      </c>
      <c r="G458" s="2">
        <v>5</v>
      </c>
      <c r="H458" s="2"/>
      <c r="I458" t="s">
        <v>16</v>
      </c>
      <c r="J458" t="s">
        <v>17</v>
      </c>
      <c r="K458" t="s">
        <v>18</v>
      </c>
      <c r="L458" t="str">
        <f>TEXT(table1[[#This Row],[Date]],"MMM")</f>
        <v>Sep</v>
      </c>
      <c r="M458">
        <f>MONTH(table1[[#This Row],[Date]])</f>
        <v>9</v>
      </c>
      <c r="N458" t="str">
        <f>TEXT(table1[[#This Row],[Date]],"ddd")</f>
        <v>Tue</v>
      </c>
      <c r="O458" s="2">
        <f>table1[[#This Row],[Credit]]-table1[[#This Row],[Debit]]</f>
        <v>-5</v>
      </c>
    </row>
    <row r="459" spans="5:15" x14ac:dyDescent="0.25">
      <c r="E459" s="1">
        <v>44454</v>
      </c>
      <c r="F459" t="s">
        <v>15</v>
      </c>
      <c r="G459" s="2">
        <v>5</v>
      </c>
      <c r="H459" s="2"/>
      <c r="I459" t="s">
        <v>16</v>
      </c>
      <c r="J459" t="s">
        <v>17</v>
      </c>
      <c r="K459" t="s">
        <v>18</v>
      </c>
      <c r="L459" t="str">
        <f>TEXT(table1[[#This Row],[Date]],"MMM")</f>
        <v>Sep</v>
      </c>
      <c r="M459">
        <f>MONTH(table1[[#This Row],[Date]])</f>
        <v>9</v>
      </c>
      <c r="N459" t="str">
        <f>TEXT(table1[[#This Row],[Date]],"ddd")</f>
        <v>Wed</v>
      </c>
      <c r="O459" s="2">
        <f>table1[[#This Row],[Credit]]-table1[[#This Row],[Debit]]</f>
        <v>-5</v>
      </c>
    </row>
    <row r="460" spans="5:15" x14ac:dyDescent="0.25">
      <c r="E460" s="1">
        <v>44456</v>
      </c>
      <c r="F460" t="s">
        <v>15</v>
      </c>
      <c r="G460" s="2">
        <v>5</v>
      </c>
      <c r="H460" s="2"/>
      <c r="I460" t="s">
        <v>16</v>
      </c>
      <c r="J460" t="s">
        <v>17</v>
      </c>
      <c r="K460" t="s">
        <v>18</v>
      </c>
      <c r="L460" t="str">
        <f>TEXT(table1[[#This Row],[Date]],"MMM")</f>
        <v>Sep</v>
      </c>
      <c r="M460">
        <f>MONTH(table1[[#This Row],[Date]])</f>
        <v>9</v>
      </c>
      <c r="N460" t="str">
        <f>TEXT(table1[[#This Row],[Date]],"ddd")</f>
        <v>Fri</v>
      </c>
      <c r="O460" s="2">
        <f>table1[[#This Row],[Credit]]-table1[[#This Row],[Debit]]</f>
        <v>-5</v>
      </c>
    </row>
    <row r="461" spans="5:15" x14ac:dyDescent="0.25">
      <c r="E461" s="1">
        <v>44457</v>
      </c>
      <c r="F461" t="s">
        <v>15</v>
      </c>
      <c r="G461" s="2">
        <v>5</v>
      </c>
      <c r="H461" s="2"/>
      <c r="I461" t="s">
        <v>16</v>
      </c>
      <c r="J461" t="s">
        <v>17</v>
      </c>
      <c r="K461" t="s">
        <v>18</v>
      </c>
      <c r="L461" t="str">
        <f>TEXT(table1[[#This Row],[Date]],"MMM")</f>
        <v>Sep</v>
      </c>
      <c r="M461">
        <f>MONTH(table1[[#This Row],[Date]])</f>
        <v>9</v>
      </c>
      <c r="N461" t="str">
        <f>TEXT(table1[[#This Row],[Date]],"ddd")</f>
        <v>Sat</v>
      </c>
      <c r="O461" s="2">
        <f>table1[[#This Row],[Credit]]-table1[[#This Row],[Debit]]</f>
        <v>-5</v>
      </c>
    </row>
    <row r="462" spans="5:15" x14ac:dyDescent="0.25">
      <c r="E462" s="1">
        <v>44458</v>
      </c>
      <c r="F462" t="s">
        <v>15</v>
      </c>
      <c r="G462" s="2">
        <v>5</v>
      </c>
      <c r="H462" s="2"/>
      <c r="I462" t="s">
        <v>16</v>
      </c>
      <c r="J462" t="s">
        <v>17</v>
      </c>
      <c r="K462" t="s">
        <v>18</v>
      </c>
      <c r="L462" t="str">
        <f>TEXT(table1[[#This Row],[Date]],"MMM")</f>
        <v>Sep</v>
      </c>
      <c r="M462">
        <f>MONTH(table1[[#This Row],[Date]])</f>
        <v>9</v>
      </c>
      <c r="N462" t="str">
        <f>TEXT(table1[[#This Row],[Date]],"ddd")</f>
        <v>Sun</v>
      </c>
      <c r="O462" s="2">
        <f>table1[[#This Row],[Credit]]-table1[[#This Row],[Debit]]</f>
        <v>-5</v>
      </c>
    </row>
    <row r="463" spans="5:15" x14ac:dyDescent="0.25">
      <c r="E463" s="1">
        <v>44459</v>
      </c>
      <c r="F463" t="s">
        <v>15</v>
      </c>
      <c r="G463" s="2">
        <v>5</v>
      </c>
      <c r="H463" s="2"/>
      <c r="I463" t="s">
        <v>16</v>
      </c>
      <c r="J463" t="s">
        <v>17</v>
      </c>
      <c r="K463" t="s">
        <v>18</v>
      </c>
      <c r="L463" t="str">
        <f>TEXT(table1[[#This Row],[Date]],"MMM")</f>
        <v>Sep</v>
      </c>
      <c r="M463">
        <f>MONTH(table1[[#This Row],[Date]])</f>
        <v>9</v>
      </c>
      <c r="N463" t="str">
        <f>TEXT(table1[[#This Row],[Date]],"ddd")</f>
        <v>Mon</v>
      </c>
      <c r="O463" s="2">
        <f>table1[[#This Row],[Credit]]-table1[[#This Row],[Debit]]</f>
        <v>-5</v>
      </c>
    </row>
    <row r="464" spans="5:15" x14ac:dyDescent="0.25">
      <c r="E464" s="1">
        <v>44460</v>
      </c>
      <c r="F464" t="s">
        <v>15</v>
      </c>
      <c r="G464" s="2">
        <v>5</v>
      </c>
      <c r="H464" s="2"/>
      <c r="I464" t="s">
        <v>16</v>
      </c>
      <c r="J464" t="s">
        <v>17</v>
      </c>
      <c r="K464" t="s">
        <v>18</v>
      </c>
      <c r="L464" t="str">
        <f>TEXT(table1[[#This Row],[Date]],"MMM")</f>
        <v>Sep</v>
      </c>
      <c r="M464">
        <f>MONTH(table1[[#This Row],[Date]])</f>
        <v>9</v>
      </c>
      <c r="N464" t="str">
        <f>TEXT(table1[[#This Row],[Date]],"ddd")</f>
        <v>Tue</v>
      </c>
      <c r="O464" s="2">
        <f>table1[[#This Row],[Credit]]-table1[[#This Row],[Debit]]</f>
        <v>-5</v>
      </c>
    </row>
    <row r="465" spans="5:15" x14ac:dyDescent="0.25">
      <c r="E465" s="1">
        <v>44463</v>
      </c>
      <c r="F465" t="s">
        <v>15</v>
      </c>
      <c r="G465" s="2">
        <v>5</v>
      </c>
      <c r="H465" s="2"/>
      <c r="I465" t="s">
        <v>16</v>
      </c>
      <c r="J465" t="s">
        <v>17</v>
      </c>
      <c r="K465" t="s">
        <v>18</v>
      </c>
      <c r="L465" t="str">
        <f>TEXT(table1[[#This Row],[Date]],"MMM")</f>
        <v>Sep</v>
      </c>
      <c r="M465">
        <f>MONTH(table1[[#This Row],[Date]])</f>
        <v>9</v>
      </c>
      <c r="N465" t="str">
        <f>TEXT(table1[[#This Row],[Date]],"ddd")</f>
        <v>Fri</v>
      </c>
      <c r="O465" s="2">
        <f>table1[[#This Row],[Credit]]-table1[[#This Row],[Debit]]</f>
        <v>-5</v>
      </c>
    </row>
    <row r="466" spans="5:15" x14ac:dyDescent="0.25">
      <c r="E466" s="1">
        <v>44464</v>
      </c>
      <c r="F466" t="s">
        <v>15</v>
      </c>
      <c r="G466" s="2">
        <v>5</v>
      </c>
      <c r="H466" s="2"/>
      <c r="I466" t="s">
        <v>16</v>
      </c>
      <c r="J466" t="s">
        <v>17</v>
      </c>
      <c r="K466" t="s">
        <v>18</v>
      </c>
      <c r="L466" t="str">
        <f>TEXT(table1[[#This Row],[Date]],"MMM")</f>
        <v>Sep</v>
      </c>
      <c r="M466">
        <f>MONTH(table1[[#This Row],[Date]])</f>
        <v>9</v>
      </c>
      <c r="N466" t="str">
        <f>TEXT(table1[[#This Row],[Date]],"ddd")</f>
        <v>Sat</v>
      </c>
      <c r="O466" s="2">
        <f>table1[[#This Row],[Credit]]-table1[[#This Row],[Debit]]</f>
        <v>-5</v>
      </c>
    </row>
    <row r="467" spans="5:15" x14ac:dyDescent="0.25">
      <c r="E467" s="1">
        <v>44465</v>
      </c>
      <c r="F467" t="s">
        <v>15</v>
      </c>
      <c r="G467" s="2">
        <v>5</v>
      </c>
      <c r="H467" s="2"/>
      <c r="I467" t="s">
        <v>16</v>
      </c>
      <c r="J467" t="s">
        <v>17</v>
      </c>
      <c r="K467" t="s">
        <v>18</v>
      </c>
      <c r="L467" t="str">
        <f>TEXT(table1[[#This Row],[Date]],"MMM")</f>
        <v>Sep</v>
      </c>
      <c r="M467">
        <f>MONTH(table1[[#This Row],[Date]])</f>
        <v>9</v>
      </c>
      <c r="N467" t="str">
        <f>TEXT(table1[[#This Row],[Date]],"ddd")</f>
        <v>Sun</v>
      </c>
      <c r="O467" s="2">
        <f>table1[[#This Row],[Credit]]-table1[[#This Row],[Debit]]</f>
        <v>-5</v>
      </c>
    </row>
    <row r="468" spans="5:15" x14ac:dyDescent="0.25">
      <c r="E468" s="1">
        <v>44466</v>
      </c>
      <c r="F468" t="s">
        <v>15</v>
      </c>
      <c r="G468" s="2">
        <v>5</v>
      </c>
      <c r="H468" s="2"/>
      <c r="I468" t="s">
        <v>16</v>
      </c>
      <c r="J468" t="s">
        <v>17</v>
      </c>
      <c r="K468" t="s">
        <v>18</v>
      </c>
      <c r="L468" t="str">
        <f>TEXT(table1[[#This Row],[Date]],"MMM")</f>
        <v>Sep</v>
      </c>
      <c r="M468">
        <f>MONTH(table1[[#This Row],[Date]])</f>
        <v>9</v>
      </c>
      <c r="N468" t="str">
        <f>TEXT(table1[[#This Row],[Date]],"ddd")</f>
        <v>Mon</v>
      </c>
      <c r="O468" s="2">
        <f>table1[[#This Row],[Credit]]-table1[[#This Row],[Debit]]</f>
        <v>-5</v>
      </c>
    </row>
    <row r="469" spans="5:15" x14ac:dyDescent="0.25">
      <c r="E469" s="1">
        <v>44467</v>
      </c>
      <c r="F469" t="s">
        <v>15</v>
      </c>
      <c r="G469" s="2">
        <v>5</v>
      </c>
      <c r="H469" s="2"/>
      <c r="I469" t="s">
        <v>16</v>
      </c>
      <c r="J469" t="s">
        <v>17</v>
      </c>
      <c r="K469" t="s">
        <v>18</v>
      </c>
      <c r="L469" t="str">
        <f>TEXT(table1[[#This Row],[Date]],"MMM")</f>
        <v>Sep</v>
      </c>
      <c r="M469">
        <f>MONTH(table1[[#This Row],[Date]])</f>
        <v>9</v>
      </c>
      <c r="N469" t="str">
        <f>TEXT(table1[[#This Row],[Date]],"ddd")</f>
        <v>Tue</v>
      </c>
      <c r="O469" s="2">
        <f>table1[[#This Row],[Credit]]-table1[[#This Row],[Debit]]</f>
        <v>-5</v>
      </c>
    </row>
    <row r="470" spans="5:15" x14ac:dyDescent="0.25">
      <c r="E470" s="1">
        <v>44470</v>
      </c>
      <c r="F470" t="s">
        <v>15</v>
      </c>
      <c r="G470" s="2">
        <v>5</v>
      </c>
      <c r="H470" s="2"/>
      <c r="I470" t="s">
        <v>16</v>
      </c>
      <c r="J470" t="s">
        <v>17</v>
      </c>
      <c r="K470" t="s">
        <v>18</v>
      </c>
      <c r="L470" t="str">
        <f>TEXT(table1[[#This Row],[Date]],"MMM")</f>
        <v>Oct</v>
      </c>
      <c r="M470">
        <f>MONTH(table1[[#This Row],[Date]])</f>
        <v>10</v>
      </c>
      <c r="N470" t="str">
        <f>TEXT(table1[[#This Row],[Date]],"ddd")</f>
        <v>Fri</v>
      </c>
      <c r="O470" s="2">
        <f>table1[[#This Row],[Credit]]-table1[[#This Row],[Debit]]</f>
        <v>-5</v>
      </c>
    </row>
    <row r="471" spans="5:15" x14ac:dyDescent="0.25">
      <c r="E471" s="1">
        <v>44472</v>
      </c>
      <c r="F471" t="s">
        <v>15</v>
      </c>
      <c r="G471" s="2">
        <v>5</v>
      </c>
      <c r="H471" s="2"/>
      <c r="I471" t="s">
        <v>16</v>
      </c>
      <c r="J471" t="s">
        <v>17</v>
      </c>
      <c r="K471" t="s">
        <v>18</v>
      </c>
      <c r="L471" t="str">
        <f>TEXT(table1[[#This Row],[Date]],"MMM")</f>
        <v>Oct</v>
      </c>
      <c r="M471">
        <f>MONTH(table1[[#This Row],[Date]])</f>
        <v>10</v>
      </c>
      <c r="N471" t="str">
        <f>TEXT(table1[[#This Row],[Date]],"ddd")</f>
        <v>Sun</v>
      </c>
      <c r="O471" s="2">
        <f>table1[[#This Row],[Credit]]-table1[[#This Row],[Debit]]</f>
        <v>-5</v>
      </c>
    </row>
    <row r="472" spans="5:15" x14ac:dyDescent="0.25">
      <c r="E472" s="1">
        <v>44473</v>
      </c>
      <c r="F472" t="s">
        <v>15</v>
      </c>
      <c r="G472" s="2">
        <v>5</v>
      </c>
      <c r="H472" s="2"/>
      <c r="I472" t="s">
        <v>16</v>
      </c>
      <c r="J472" t="s">
        <v>17</v>
      </c>
      <c r="K472" t="s">
        <v>18</v>
      </c>
      <c r="L472" t="str">
        <f>TEXT(table1[[#This Row],[Date]],"MMM")</f>
        <v>Oct</v>
      </c>
      <c r="M472">
        <f>MONTH(table1[[#This Row],[Date]])</f>
        <v>10</v>
      </c>
      <c r="N472" t="str">
        <f>TEXT(table1[[#This Row],[Date]],"ddd")</f>
        <v>Mon</v>
      </c>
      <c r="O472" s="2">
        <f>table1[[#This Row],[Credit]]-table1[[#This Row],[Debit]]</f>
        <v>-5</v>
      </c>
    </row>
    <row r="473" spans="5:15" x14ac:dyDescent="0.25">
      <c r="E473" s="1">
        <v>44475</v>
      </c>
      <c r="F473" t="s">
        <v>15</v>
      </c>
      <c r="G473" s="2">
        <v>5</v>
      </c>
      <c r="H473" s="2"/>
      <c r="I473" t="s">
        <v>16</v>
      </c>
      <c r="J473" t="s">
        <v>17</v>
      </c>
      <c r="K473" t="s">
        <v>18</v>
      </c>
      <c r="L473" t="str">
        <f>TEXT(table1[[#This Row],[Date]],"MMM")</f>
        <v>Oct</v>
      </c>
      <c r="M473">
        <f>MONTH(table1[[#This Row],[Date]])</f>
        <v>10</v>
      </c>
      <c r="N473" t="str">
        <f>TEXT(table1[[#This Row],[Date]],"ddd")</f>
        <v>Wed</v>
      </c>
      <c r="O473" s="2">
        <f>table1[[#This Row],[Credit]]-table1[[#This Row],[Debit]]</f>
        <v>-5</v>
      </c>
    </row>
    <row r="474" spans="5:15" x14ac:dyDescent="0.25">
      <c r="E474" s="1">
        <v>44475</v>
      </c>
      <c r="F474" t="s">
        <v>15</v>
      </c>
      <c r="G474" s="2">
        <v>5</v>
      </c>
      <c r="H474" s="2"/>
      <c r="I474" t="s">
        <v>16</v>
      </c>
      <c r="J474" t="s">
        <v>17</v>
      </c>
      <c r="K474" t="s">
        <v>18</v>
      </c>
      <c r="L474" t="str">
        <f>TEXT(table1[[#This Row],[Date]],"MMM")</f>
        <v>Oct</v>
      </c>
      <c r="M474">
        <f>MONTH(table1[[#This Row],[Date]])</f>
        <v>10</v>
      </c>
      <c r="N474" t="str">
        <f>TEXT(table1[[#This Row],[Date]],"ddd")</f>
        <v>Wed</v>
      </c>
      <c r="O474" s="2">
        <f>table1[[#This Row],[Credit]]-table1[[#This Row],[Debit]]</f>
        <v>-5</v>
      </c>
    </row>
    <row r="475" spans="5:15" x14ac:dyDescent="0.25">
      <c r="E475" s="1">
        <v>44476</v>
      </c>
      <c r="F475" t="s">
        <v>15</v>
      </c>
      <c r="G475" s="2">
        <v>5</v>
      </c>
      <c r="H475" s="2"/>
      <c r="I475" t="s">
        <v>16</v>
      </c>
      <c r="J475" t="s">
        <v>17</v>
      </c>
      <c r="K475" t="s">
        <v>18</v>
      </c>
      <c r="L475" t="str">
        <f>TEXT(table1[[#This Row],[Date]],"MMM")</f>
        <v>Oct</v>
      </c>
      <c r="M475">
        <f>MONTH(table1[[#This Row],[Date]])</f>
        <v>10</v>
      </c>
      <c r="N475" t="str">
        <f>TEXT(table1[[#This Row],[Date]],"ddd")</f>
        <v>Thu</v>
      </c>
      <c r="O475" s="2">
        <f>table1[[#This Row],[Credit]]-table1[[#This Row],[Debit]]</f>
        <v>-5</v>
      </c>
    </row>
    <row r="476" spans="5:15" x14ac:dyDescent="0.25">
      <c r="E476" s="1">
        <v>44477</v>
      </c>
      <c r="F476" t="s">
        <v>15</v>
      </c>
      <c r="G476" s="2">
        <v>5</v>
      </c>
      <c r="H476" s="2"/>
      <c r="I476" t="s">
        <v>16</v>
      </c>
      <c r="J476" t="s">
        <v>17</v>
      </c>
      <c r="K476" t="s">
        <v>18</v>
      </c>
      <c r="L476" t="str">
        <f>TEXT(table1[[#This Row],[Date]],"MMM")</f>
        <v>Oct</v>
      </c>
      <c r="M476">
        <f>MONTH(table1[[#This Row],[Date]])</f>
        <v>10</v>
      </c>
      <c r="N476" t="str">
        <f>TEXT(table1[[#This Row],[Date]],"ddd")</f>
        <v>Fri</v>
      </c>
      <c r="O476" s="2">
        <f>table1[[#This Row],[Credit]]-table1[[#This Row],[Debit]]</f>
        <v>-5</v>
      </c>
    </row>
    <row r="477" spans="5:15" x14ac:dyDescent="0.25">
      <c r="E477" s="1">
        <v>44480</v>
      </c>
      <c r="F477" t="s">
        <v>15</v>
      </c>
      <c r="G477" s="2">
        <v>5</v>
      </c>
      <c r="H477" s="2"/>
      <c r="I477" t="s">
        <v>16</v>
      </c>
      <c r="J477" t="s">
        <v>17</v>
      </c>
      <c r="K477" t="s">
        <v>18</v>
      </c>
      <c r="L477" t="str">
        <f>TEXT(table1[[#This Row],[Date]],"MMM")</f>
        <v>Oct</v>
      </c>
      <c r="M477">
        <f>MONTH(table1[[#This Row],[Date]])</f>
        <v>10</v>
      </c>
      <c r="N477" t="str">
        <f>TEXT(table1[[#This Row],[Date]],"ddd")</f>
        <v>Mon</v>
      </c>
      <c r="O477" s="2">
        <f>table1[[#This Row],[Credit]]-table1[[#This Row],[Debit]]</f>
        <v>-5</v>
      </c>
    </row>
    <row r="478" spans="5:15" x14ac:dyDescent="0.25">
      <c r="E478" s="1">
        <v>44481</v>
      </c>
      <c r="F478" t="s">
        <v>15</v>
      </c>
      <c r="G478" s="2">
        <v>5</v>
      </c>
      <c r="H478" s="2"/>
      <c r="I478" t="s">
        <v>16</v>
      </c>
      <c r="J478" t="s">
        <v>17</v>
      </c>
      <c r="K478" t="s">
        <v>18</v>
      </c>
      <c r="L478" t="str">
        <f>TEXT(table1[[#This Row],[Date]],"MMM")</f>
        <v>Oct</v>
      </c>
      <c r="M478">
        <f>MONTH(table1[[#This Row],[Date]])</f>
        <v>10</v>
      </c>
      <c r="N478" t="str">
        <f>TEXT(table1[[#This Row],[Date]],"ddd")</f>
        <v>Tue</v>
      </c>
      <c r="O478" s="2">
        <f>table1[[#This Row],[Credit]]-table1[[#This Row],[Debit]]</f>
        <v>-5</v>
      </c>
    </row>
    <row r="479" spans="5:15" x14ac:dyDescent="0.25">
      <c r="E479" s="1">
        <v>44482</v>
      </c>
      <c r="F479" t="s">
        <v>15</v>
      </c>
      <c r="G479" s="2">
        <v>5</v>
      </c>
      <c r="H479" s="2"/>
      <c r="I479" t="s">
        <v>16</v>
      </c>
      <c r="J479" t="s">
        <v>17</v>
      </c>
      <c r="K479" t="s">
        <v>18</v>
      </c>
      <c r="L479" t="str">
        <f>TEXT(table1[[#This Row],[Date]],"MMM")</f>
        <v>Oct</v>
      </c>
      <c r="M479">
        <f>MONTH(table1[[#This Row],[Date]])</f>
        <v>10</v>
      </c>
      <c r="N479" t="str">
        <f>TEXT(table1[[#This Row],[Date]],"ddd")</f>
        <v>Wed</v>
      </c>
      <c r="O479" s="2">
        <f>table1[[#This Row],[Credit]]-table1[[#This Row],[Debit]]</f>
        <v>-5</v>
      </c>
    </row>
    <row r="480" spans="5:15" x14ac:dyDescent="0.25">
      <c r="E480" s="1">
        <v>44483</v>
      </c>
      <c r="F480" t="s">
        <v>15</v>
      </c>
      <c r="G480" s="2">
        <v>5</v>
      </c>
      <c r="H480" s="2"/>
      <c r="I480" t="s">
        <v>16</v>
      </c>
      <c r="J480" t="s">
        <v>17</v>
      </c>
      <c r="K480" t="s">
        <v>18</v>
      </c>
      <c r="L480" t="str">
        <f>TEXT(table1[[#This Row],[Date]],"MMM")</f>
        <v>Oct</v>
      </c>
      <c r="M480">
        <f>MONTH(table1[[#This Row],[Date]])</f>
        <v>10</v>
      </c>
      <c r="N480" t="str">
        <f>TEXT(table1[[#This Row],[Date]],"ddd")</f>
        <v>Thu</v>
      </c>
      <c r="O480" s="2">
        <f>table1[[#This Row],[Credit]]-table1[[#This Row],[Debit]]</f>
        <v>-5</v>
      </c>
    </row>
    <row r="481" spans="5:15" x14ac:dyDescent="0.25">
      <c r="E481" s="1">
        <v>44484</v>
      </c>
      <c r="F481" t="s">
        <v>15</v>
      </c>
      <c r="G481" s="2">
        <v>5</v>
      </c>
      <c r="H481" s="2"/>
      <c r="I481" t="s">
        <v>16</v>
      </c>
      <c r="J481" t="s">
        <v>17</v>
      </c>
      <c r="K481" t="s">
        <v>18</v>
      </c>
      <c r="L481" t="str">
        <f>TEXT(table1[[#This Row],[Date]],"MMM")</f>
        <v>Oct</v>
      </c>
      <c r="M481">
        <f>MONTH(table1[[#This Row],[Date]])</f>
        <v>10</v>
      </c>
      <c r="N481" t="str">
        <f>TEXT(table1[[#This Row],[Date]],"ddd")</f>
        <v>Fri</v>
      </c>
      <c r="O481" s="2">
        <f>table1[[#This Row],[Credit]]-table1[[#This Row],[Debit]]</f>
        <v>-5</v>
      </c>
    </row>
    <row r="482" spans="5:15" x14ac:dyDescent="0.25">
      <c r="E482" s="1">
        <v>44485</v>
      </c>
      <c r="F482" t="s">
        <v>15</v>
      </c>
      <c r="G482" s="2">
        <v>5</v>
      </c>
      <c r="H482" s="2"/>
      <c r="I482" t="s">
        <v>16</v>
      </c>
      <c r="J482" t="s">
        <v>17</v>
      </c>
      <c r="K482" t="s">
        <v>18</v>
      </c>
      <c r="L482" t="str">
        <f>TEXT(table1[[#This Row],[Date]],"MMM")</f>
        <v>Oct</v>
      </c>
      <c r="M482">
        <f>MONTH(table1[[#This Row],[Date]])</f>
        <v>10</v>
      </c>
      <c r="N482" t="str">
        <f>TEXT(table1[[#This Row],[Date]],"ddd")</f>
        <v>Sat</v>
      </c>
      <c r="O482" s="2">
        <f>table1[[#This Row],[Credit]]-table1[[#This Row],[Debit]]</f>
        <v>-5</v>
      </c>
    </row>
    <row r="483" spans="5:15" x14ac:dyDescent="0.25">
      <c r="E483" s="1">
        <v>44487</v>
      </c>
      <c r="F483" t="s">
        <v>15</v>
      </c>
      <c r="G483" s="2">
        <v>5</v>
      </c>
      <c r="H483" s="2"/>
      <c r="I483" t="s">
        <v>16</v>
      </c>
      <c r="J483" t="s">
        <v>17</v>
      </c>
      <c r="K483" t="s">
        <v>18</v>
      </c>
      <c r="L483" t="str">
        <f>TEXT(table1[[#This Row],[Date]],"MMM")</f>
        <v>Oct</v>
      </c>
      <c r="M483">
        <f>MONTH(table1[[#This Row],[Date]])</f>
        <v>10</v>
      </c>
      <c r="N483" t="str">
        <f>TEXT(table1[[#This Row],[Date]],"ddd")</f>
        <v>Mon</v>
      </c>
      <c r="O483" s="2">
        <f>table1[[#This Row],[Credit]]-table1[[#This Row],[Debit]]</f>
        <v>-5</v>
      </c>
    </row>
    <row r="484" spans="5:15" x14ac:dyDescent="0.25">
      <c r="E484" s="1">
        <v>44488</v>
      </c>
      <c r="F484" t="s">
        <v>15</v>
      </c>
      <c r="G484" s="2">
        <v>5</v>
      </c>
      <c r="H484" s="2"/>
      <c r="I484" t="s">
        <v>16</v>
      </c>
      <c r="J484" t="s">
        <v>17</v>
      </c>
      <c r="K484" t="s">
        <v>18</v>
      </c>
      <c r="L484" t="str">
        <f>TEXT(table1[[#This Row],[Date]],"MMM")</f>
        <v>Oct</v>
      </c>
      <c r="M484">
        <f>MONTH(table1[[#This Row],[Date]])</f>
        <v>10</v>
      </c>
      <c r="N484" t="str">
        <f>TEXT(table1[[#This Row],[Date]],"ddd")</f>
        <v>Tue</v>
      </c>
      <c r="O484" s="2">
        <f>table1[[#This Row],[Credit]]-table1[[#This Row],[Debit]]</f>
        <v>-5</v>
      </c>
    </row>
    <row r="485" spans="5:15" x14ac:dyDescent="0.25">
      <c r="E485" s="1">
        <v>44489</v>
      </c>
      <c r="F485" t="s">
        <v>15</v>
      </c>
      <c r="G485" s="2">
        <v>5</v>
      </c>
      <c r="H485" s="2"/>
      <c r="I485" t="s">
        <v>16</v>
      </c>
      <c r="J485" t="s">
        <v>17</v>
      </c>
      <c r="K485" t="s">
        <v>18</v>
      </c>
      <c r="L485" t="str">
        <f>TEXT(table1[[#This Row],[Date]],"MMM")</f>
        <v>Oct</v>
      </c>
      <c r="M485">
        <f>MONTH(table1[[#This Row],[Date]])</f>
        <v>10</v>
      </c>
      <c r="N485" t="str">
        <f>TEXT(table1[[#This Row],[Date]],"ddd")</f>
        <v>Wed</v>
      </c>
      <c r="O485" s="2">
        <f>table1[[#This Row],[Credit]]-table1[[#This Row],[Debit]]</f>
        <v>-5</v>
      </c>
    </row>
    <row r="486" spans="5:15" x14ac:dyDescent="0.25">
      <c r="E486" s="1">
        <v>44490</v>
      </c>
      <c r="F486" t="s">
        <v>15</v>
      </c>
      <c r="G486" s="2">
        <v>5</v>
      </c>
      <c r="H486" s="2"/>
      <c r="I486" t="s">
        <v>16</v>
      </c>
      <c r="J486" t="s">
        <v>17</v>
      </c>
      <c r="K486" t="s">
        <v>18</v>
      </c>
      <c r="L486" t="str">
        <f>TEXT(table1[[#This Row],[Date]],"MMM")</f>
        <v>Oct</v>
      </c>
      <c r="M486">
        <f>MONTH(table1[[#This Row],[Date]])</f>
        <v>10</v>
      </c>
      <c r="N486" t="str">
        <f>TEXT(table1[[#This Row],[Date]],"ddd")</f>
        <v>Thu</v>
      </c>
      <c r="O486" s="2">
        <f>table1[[#This Row],[Credit]]-table1[[#This Row],[Debit]]</f>
        <v>-5</v>
      </c>
    </row>
    <row r="487" spans="5:15" x14ac:dyDescent="0.25">
      <c r="E487" s="1">
        <v>44491</v>
      </c>
      <c r="F487" t="s">
        <v>15</v>
      </c>
      <c r="G487" s="2">
        <v>5</v>
      </c>
      <c r="H487" s="2"/>
      <c r="I487" t="s">
        <v>16</v>
      </c>
      <c r="J487" t="s">
        <v>17</v>
      </c>
      <c r="K487" t="s">
        <v>18</v>
      </c>
      <c r="L487" t="str">
        <f>TEXT(table1[[#This Row],[Date]],"MMM")</f>
        <v>Oct</v>
      </c>
      <c r="M487">
        <f>MONTH(table1[[#This Row],[Date]])</f>
        <v>10</v>
      </c>
      <c r="N487" t="str">
        <f>TEXT(table1[[#This Row],[Date]],"ddd")</f>
        <v>Fri</v>
      </c>
      <c r="O487" s="2">
        <f>table1[[#This Row],[Credit]]-table1[[#This Row],[Debit]]</f>
        <v>-5</v>
      </c>
    </row>
    <row r="488" spans="5:15" x14ac:dyDescent="0.25">
      <c r="E488" s="1">
        <v>44494</v>
      </c>
      <c r="F488" t="s">
        <v>15</v>
      </c>
      <c r="G488" s="2">
        <v>5</v>
      </c>
      <c r="H488" s="2"/>
      <c r="I488" t="s">
        <v>16</v>
      </c>
      <c r="J488" t="s">
        <v>17</v>
      </c>
      <c r="K488" t="s">
        <v>18</v>
      </c>
      <c r="L488" t="str">
        <f>TEXT(table1[[#This Row],[Date]],"MMM")</f>
        <v>Oct</v>
      </c>
      <c r="M488">
        <f>MONTH(table1[[#This Row],[Date]])</f>
        <v>10</v>
      </c>
      <c r="N488" t="str">
        <f>TEXT(table1[[#This Row],[Date]],"ddd")</f>
        <v>Mon</v>
      </c>
      <c r="O488" s="2">
        <f>table1[[#This Row],[Credit]]-table1[[#This Row],[Debit]]</f>
        <v>-5</v>
      </c>
    </row>
    <row r="489" spans="5:15" x14ac:dyDescent="0.25">
      <c r="E489" s="1">
        <v>44495</v>
      </c>
      <c r="F489" t="s">
        <v>15</v>
      </c>
      <c r="G489" s="2">
        <v>5</v>
      </c>
      <c r="H489" s="2"/>
      <c r="I489" t="s">
        <v>16</v>
      </c>
      <c r="J489" t="s">
        <v>17</v>
      </c>
      <c r="K489" t="s">
        <v>18</v>
      </c>
      <c r="L489" t="str">
        <f>TEXT(table1[[#This Row],[Date]],"MMM")</f>
        <v>Oct</v>
      </c>
      <c r="M489">
        <f>MONTH(table1[[#This Row],[Date]])</f>
        <v>10</v>
      </c>
      <c r="N489" t="str">
        <f>TEXT(table1[[#This Row],[Date]],"ddd")</f>
        <v>Tue</v>
      </c>
      <c r="O489" s="2">
        <f>table1[[#This Row],[Credit]]-table1[[#This Row],[Debit]]</f>
        <v>-5</v>
      </c>
    </row>
    <row r="490" spans="5:15" x14ac:dyDescent="0.25">
      <c r="E490" s="1">
        <v>44496</v>
      </c>
      <c r="F490" t="s">
        <v>15</v>
      </c>
      <c r="G490" s="2">
        <v>5</v>
      </c>
      <c r="H490" s="2"/>
      <c r="I490" t="s">
        <v>16</v>
      </c>
      <c r="J490" t="s">
        <v>17</v>
      </c>
      <c r="K490" t="s">
        <v>18</v>
      </c>
      <c r="L490" t="str">
        <f>TEXT(table1[[#This Row],[Date]],"MMM")</f>
        <v>Oct</v>
      </c>
      <c r="M490">
        <f>MONTH(table1[[#This Row],[Date]])</f>
        <v>10</v>
      </c>
      <c r="N490" t="str">
        <f>TEXT(table1[[#This Row],[Date]],"ddd")</f>
        <v>Wed</v>
      </c>
      <c r="O490" s="2">
        <f>table1[[#This Row],[Credit]]-table1[[#This Row],[Debit]]</f>
        <v>-5</v>
      </c>
    </row>
    <row r="491" spans="5:15" x14ac:dyDescent="0.25">
      <c r="E491" s="1">
        <v>44497</v>
      </c>
      <c r="F491" t="s">
        <v>15</v>
      </c>
      <c r="G491" s="2">
        <v>5</v>
      </c>
      <c r="H491" s="2"/>
      <c r="I491" t="s">
        <v>16</v>
      </c>
      <c r="J491" t="s">
        <v>17</v>
      </c>
      <c r="K491" t="s">
        <v>18</v>
      </c>
      <c r="L491" t="str">
        <f>TEXT(table1[[#This Row],[Date]],"MMM")</f>
        <v>Oct</v>
      </c>
      <c r="M491">
        <f>MONTH(table1[[#This Row],[Date]])</f>
        <v>10</v>
      </c>
      <c r="N491" t="str">
        <f>TEXT(table1[[#This Row],[Date]],"ddd")</f>
        <v>Thu</v>
      </c>
      <c r="O491" s="2">
        <f>table1[[#This Row],[Credit]]-table1[[#This Row],[Debit]]</f>
        <v>-5</v>
      </c>
    </row>
    <row r="492" spans="5:15" x14ac:dyDescent="0.25">
      <c r="E492" s="1">
        <v>44498</v>
      </c>
      <c r="F492" t="s">
        <v>15</v>
      </c>
      <c r="G492" s="2">
        <v>5</v>
      </c>
      <c r="H492" s="2"/>
      <c r="I492" t="s">
        <v>16</v>
      </c>
      <c r="J492" t="s">
        <v>17</v>
      </c>
      <c r="K492" t="s">
        <v>18</v>
      </c>
      <c r="L492" t="str">
        <f>TEXT(table1[[#This Row],[Date]],"MMM")</f>
        <v>Oct</v>
      </c>
      <c r="M492">
        <f>MONTH(table1[[#This Row],[Date]])</f>
        <v>10</v>
      </c>
      <c r="N492" t="str">
        <f>TEXT(table1[[#This Row],[Date]],"ddd")</f>
        <v>Fri</v>
      </c>
      <c r="O492" s="2">
        <f>table1[[#This Row],[Credit]]-table1[[#This Row],[Debit]]</f>
        <v>-5</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D40E-7EF7-46BB-928D-7C001FABA713}">
  <dimension ref="A1:AF69"/>
  <sheetViews>
    <sheetView showGridLines="0" showRowColHeaders="0" tabSelected="1" zoomScale="115" zoomScaleNormal="115" workbookViewId="0">
      <selection activeCell="Q6" sqref="Q6"/>
    </sheetView>
  </sheetViews>
  <sheetFormatPr defaultRowHeight="15" x14ac:dyDescent="0.25"/>
  <sheetData>
    <row r="1" spans="1:32"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row>
    <row r="2" spans="1:32"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spans="1:32"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2"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spans="1:32"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spans="1:32"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spans="1:32"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spans="1:32"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spans="1:32"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spans="1:32"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spans="1:32"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spans="1:32"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spans="1:32"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spans="1:32"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spans="1:32"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spans="1:32"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spans="1:32"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spans="1:32"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spans="1:32"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spans="1:32"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spans="1:32"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spans="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spans="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spans="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spans="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spans="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spans="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spans="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spans="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spans="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spans="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spans="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spans="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spans="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spans="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spans="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spans="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spans="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spans="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spans="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spans="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spans="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spans="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spans="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spans="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spans="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spans="1:32" x14ac:dyDescent="0.25">
      <c r="A69" s="3"/>
      <c r="B69" s="3"/>
      <c r="C69" s="3"/>
      <c r="D69" s="3"/>
      <c r="E69" s="3"/>
      <c r="F69" s="3"/>
      <c r="G69" s="3"/>
      <c r="H69" s="3"/>
      <c r="I69" s="3"/>
      <c r="J69" s="3"/>
      <c r="K69" s="3"/>
      <c r="L69" s="3"/>
      <c r="M69" s="3"/>
      <c r="N69" s="3"/>
      <c r="O69" s="3"/>
      <c r="P69" s="3"/>
      <c r="Q69" s="3"/>
      <c r="S69" s="3"/>
      <c r="T69" s="3"/>
      <c r="U69" s="3"/>
      <c r="V69" s="3"/>
      <c r="W69" s="3"/>
      <c r="X69" s="3"/>
      <c r="Y69" s="3"/>
      <c r="Z69" s="3"/>
      <c r="AA69" s="3"/>
      <c r="AB69" s="3"/>
      <c r="AC69" s="3"/>
      <c r="AD69" s="3"/>
      <c r="AE69" s="3"/>
      <c r="AF69" s="3"/>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87E1-7888-4B96-BA1F-FF3AC6EAD01B}">
  <dimension ref="B2:J47"/>
  <sheetViews>
    <sheetView zoomScale="72" workbookViewId="0">
      <selection activeCell="P52" sqref="P52"/>
    </sheetView>
  </sheetViews>
  <sheetFormatPr defaultRowHeight="15" x14ac:dyDescent="0.25"/>
  <cols>
    <col min="2" max="2" width="20.42578125" bestFit="1" customWidth="1"/>
    <col min="3" max="3" width="18.85546875" bestFit="1" customWidth="1"/>
    <col min="4" max="4" width="12.85546875" bestFit="1" customWidth="1"/>
    <col min="5" max="5" width="11.7109375" bestFit="1" customWidth="1"/>
    <col min="6" max="6" width="18.85546875" bestFit="1" customWidth="1"/>
    <col min="7" max="7" width="12.85546875" bestFit="1" customWidth="1"/>
    <col min="8" max="8" width="13.5703125" bestFit="1" customWidth="1"/>
    <col min="9" max="9" width="18.85546875" bestFit="1" customWidth="1"/>
    <col min="10" max="10" width="17.85546875" bestFit="1" customWidth="1"/>
    <col min="20" max="20" width="19.85546875" bestFit="1" customWidth="1"/>
    <col min="21" max="21" width="13" bestFit="1" customWidth="1"/>
  </cols>
  <sheetData>
    <row r="2" spans="2:10" x14ac:dyDescent="0.25">
      <c r="B2" s="13" t="s">
        <v>65</v>
      </c>
      <c r="C2" s="13"/>
      <c r="D2" s="13"/>
      <c r="I2" s="13" t="s">
        <v>90</v>
      </c>
      <c r="J2" s="13"/>
    </row>
    <row r="3" spans="2:10" x14ac:dyDescent="0.25">
      <c r="B3" s="6" t="s">
        <v>66</v>
      </c>
      <c r="C3" s="6" t="s">
        <v>67</v>
      </c>
      <c r="D3" s="6" t="s">
        <v>68</v>
      </c>
      <c r="I3" s="8" t="s">
        <v>76</v>
      </c>
      <c r="J3" t="s">
        <v>72</v>
      </c>
    </row>
    <row r="4" spans="2:10" x14ac:dyDescent="0.25">
      <c r="B4" t="s">
        <v>69</v>
      </c>
      <c r="F4" s="14" t="s">
        <v>93</v>
      </c>
      <c r="G4" s="14"/>
      <c r="I4" s="9">
        <v>1</v>
      </c>
      <c r="J4" s="10">
        <v>14000</v>
      </c>
    </row>
    <row r="5" spans="2:10" x14ac:dyDescent="0.25">
      <c r="F5" s="11" t="s">
        <v>14</v>
      </c>
      <c r="G5" s="12">
        <f>Income</f>
        <v>65440</v>
      </c>
      <c r="I5" s="9">
        <v>2</v>
      </c>
      <c r="J5" s="10">
        <v>5800</v>
      </c>
    </row>
    <row r="6" spans="2:10" x14ac:dyDescent="0.25">
      <c r="B6" s="4" t="s">
        <v>70</v>
      </c>
      <c r="F6" s="11" t="s">
        <v>94</v>
      </c>
      <c r="G6" s="12">
        <f>Spending</f>
        <v>30190.999999999993</v>
      </c>
      <c r="I6" s="9">
        <v>3</v>
      </c>
      <c r="J6" s="10">
        <v>6000</v>
      </c>
    </row>
    <row r="7" spans="2:10" x14ac:dyDescent="0.25">
      <c r="B7" s="5">
        <v>45961</v>
      </c>
      <c r="F7" s="11" t="s">
        <v>95</v>
      </c>
      <c r="G7" s="12">
        <f>Balance</f>
        <v>35249.000000000007</v>
      </c>
      <c r="I7" s="9">
        <v>4</v>
      </c>
      <c r="J7" s="10">
        <v>7340</v>
      </c>
    </row>
    <row r="8" spans="2:10" x14ac:dyDescent="0.25">
      <c r="I8" s="9">
        <v>5</v>
      </c>
      <c r="J8" s="10">
        <v>6000</v>
      </c>
    </row>
    <row r="9" spans="2:10" x14ac:dyDescent="0.25">
      <c r="I9" s="9">
        <v>6</v>
      </c>
      <c r="J9" s="10">
        <v>5100</v>
      </c>
    </row>
    <row r="10" spans="2:10" x14ac:dyDescent="0.25">
      <c r="B10" t="s">
        <v>71</v>
      </c>
      <c r="C10" t="s">
        <v>72</v>
      </c>
      <c r="D10" t="s">
        <v>73</v>
      </c>
      <c r="E10" s="6" t="s">
        <v>75</v>
      </c>
      <c r="F10" s="6" t="s">
        <v>74</v>
      </c>
      <c r="I10" s="9">
        <v>7</v>
      </c>
      <c r="J10" s="10">
        <v>5200</v>
      </c>
    </row>
    <row r="11" spans="2:10" x14ac:dyDescent="0.25">
      <c r="B11" s="10">
        <v>30190.999999999993</v>
      </c>
      <c r="C11" s="10">
        <v>65440</v>
      </c>
      <c r="D11" s="2">
        <v>35249.000000000007</v>
      </c>
      <c r="E11" s="7">
        <v>900</v>
      </c>
      <c r="F11" s="7">
        <v>5000</v>
      </c>
      <c r="I11" s="9">
        <v>8</v>
      </c>
      <c r="J11" s="10">
        <v>5800</v>
      </c>
    </row>
    <row r="12" spans="2:10" x14ac:dyDescent="0.25">
      <c r="I12" s="9">
        <v>9</v>
      </c>
      <c r="J12" s="10">
        <v>5100</v>
      </c>
    </row>
    <row r="13" spans="2:10" x14ac:dyDescent="0.25">
      <c r="B13" s="13" t="s">
        <v>92</v>
      </c>
      <c r="C13" s="13"/>
      <c r="I13" s="9">
        <v>10</v>
      </c>
      <c r="J13" s="10">
        <v>5100</v>
      </c>
    </row>
    <row r="14" spans="2:10" x14ac:dyDescent="0.25">
      <c r="B14" s="8" t="s">
        <v>6</v>
      </c>
      <c r="C14" t="s">
        <v>14</v>
      </c>
      <c r="I14" s="9" t="s">
        <v>77</v>
      </c>
      <c r="J14" s="10">
        <v>65440</v>
      </c>
    </row>
    <row r="16" spans="2:10" x14ac:dyDescent="0.25">
      <c r="B16" s="8" t="s">
        <v>76</v>
      </c>
      <c r="C16" t="s">
        <v>72</v>
      </c>
    </row>
    <row r="17" spans="2:10" x14ac:dyDescent="0.25">
      <c r="B17" s="9" t="s">
        <v>12</v>
      </c>
      <c r="C17" s="10">
        <v>50000</v>
      </c>
      <c r="I17" s="13" t="s">
        <v>91</v>
      </c>
      <c r="J17" s="13"/>
    </row>
    <row r="18" spans="2:10" x14ac:dyDescent="0.25">
      <c r="B18" s="9" t="s">
        <v>40</v>
      </c>
      <c r="C18" s="10">
        <v>10940</v>
      </c>
      <c r="I18" s="8" t="s">
        <v>76</v>
      </c>
      <c r="J18" t="s">
        <v>71</v>
      </c>
    </row>
    <row r="19" spans="2:10" x14ac:dyDescent="0.25">
      <c r="B19" s="9" t="s">
        <v>42</v>
      </c>
      <c r="C19" s="10">
        <v>4500</v>
      </c>
      <c r="I19" s="9">
        <v>1</v>
      </c>
      <c r="J19" s="10">
        <v>2874</v>
      </c>
    </row>
    <row r="20" spans="2:10" x14ac:dyDescent="0.25">
      <c r="B20" s="9" t="s">
        <v>77</v>
      </c>
      <c r="C20" s="10">
        <v>65440</v>
      </c>
      <c r="I20" s="9">
        <v>2</v>
      </c>
      <c r="J20" s="10">
        <v>2904.6000000000004</v>
      </c>
    </row>
    <row r="21" spans="2:10" x14ac:dyDescent="0.25">
      <c r="I21" s="9">
        <v>3</v>
      </c>
      <c r="J21" s="10">
        <v>3049.7</v>
      </c>
    </row>
    <row r="22" spans="2:10" x14ac:dyDescent="0.25">
      <c r="I22" s="9">
        <v>4</v>
      </c>
      <c r="J22" s="10">
        <v>3038.0000000000005</v>
      </c>
    </row>
    <row r="23" spans="2:10" x14ac:dyDescent="0.25">
      <c r="B23" s="13" t="s">
        <v>79</v>
      </c>
      <c r="C23" s="13"/>
      <c r="I23" s="9">
        <v>5</v>
      </c>
      <c r="J23" s="10">
        <v>3116.1</v>
      </c>
    </row>
    <row r="24" spans="2:10" x14ac:dyDescent="0.25">
      <c r="B24" s="8" t="s">
        <v>6</v>
      </c>
      <c r="C24" t="s">
        <v>78</v>
      </c>
      <c r="I24" s="9">
        <v>6</v>
      </c>
      <c r="J24" s="10">
        <v>3005.7</v>
      </c>
    </row>
    <row r="25" spans="2:10" x14ac:dyDescent="0.25">
      <c r="I25" s="9">
        <v>7</v>
      </c>
      <c r="J25" s="10">
        <v>3065</v>
      </c>
    </row>
    <row r="26" spans="2:10" x14ac:dyDescent="0.25">
      <c r="B26" s="8" t="s">
        <v>76</v>
      </c>
      <c r="C26" t="s">
        <v>71</v>
      </c>
      <c r="I26" s="9">
        <v>8</v>
      </c>
      <c r="J26" s="10">
        <v>2952.0999999999995</v>
      </c>
    </row>
    <row r="27" spans="2:10" x14ac:dyDescent="0.25">
      <c r="B27" s="9" t="s">
        <v>20</v>
      </c>
      <c r="C27" s="10">
        <v>9000</v>
      </c>
      <c r="I27" s="9">
        <v>9</v>
      </c>
      <c r="J27" s="10">
        <v>3087.1</v>
      </c>
    </row>
    <row r="28" spans="2:10" x14ac:dyDescent="0.25">
      <c r="B28" s="9" t="s">
        <v>26</v>
      </c>
      <c r="C28" s="10">
        <v>6454.0999999999995</v>
      </c>
      <c r="I28" s="9">
        <v>10</v>
      </c>
      <c r="J28" s="10">
        <v>3098.7</v>
      </c>
    </row>
    <row r="29" spans="2:10" x14ac:dyDescent="0.25">
      <c r="B29" s="9" t="s">
        <v>34</v>
      </c>
      <c r="C29" s="10">
        <v>4303.6000000000004</v>
      </c>
      <c r="I29" s="9" t="s">
        <v>77</v>
      </c>
      <c r="J29" s="10">
        <v>30190.999999999996</v>
      </c>
    </row>
    <row r="30" spans="2:10" x14ac:dyDescent="0.25">
      <c r="B30" s="9" t="s">
        <v>31</v>
      </c>
      <c r="C30" s="10">
        <v>1812.6</v>
      </c>
    </row>
    <row r="31" spans="2:10" x14ac:dyDescent="0.25">
      <c r="B31" s="9" t="s">
        <v>23</v>
      </c>
      <c r="C31" s="10">
        <v>1500</v>
      </c>
    </row>
    <row r="32" spans="2:10" x14ac:dyDescent="0.25">
      <c r="B32" s="9" t="s">
        <v>77</v>
      </c>
      <c r="C32" s="10">
        <v>23070.3</v>
      </c>
    </row>
    <row r="35" spans="2:8" x14ac:dyDescent="0.25">
      <c r="B35" s="13" t="s">
        <v>81</v>
      </c>
      <c r="C35" s="13"/>
      <c r="D35" s="13"/>
      <c r="F35" s="13" t="s">
        <v>89</v>
      </c>
      <c r="G35" s="13"/>
      <c r="H35" s="13"/>
    </row>
    <row r="36" spans="2:8" x14ac:dyDescent="0.25">
      <c r="B36" s="8" t="s">
        <v>76</v>
      </c>
      <c r="C36" t="s">
        <v>94</v>
      </c>
      <c r="D36" t="s">
        <v>14</v>
      </c>
      <c r="F36" s="8" t="s">
        <v>76</v>
      </c>
      <c r="G36" t="s">
        <v>14</v>
      </c>
      <c r="H36" t="s">
        <v>94</v>
      </c>
    </row>
    <row r="37" spans="2:8" x14ac:dyDescent="0.25">
      <c r="B37" s="9" t="s">
        <v>97</v>
      </c>
      <c r="C37" s="10">
        <v>2874</v>
      </c>
      <c r="D37" s="10">
        <v>14000</v>
      </c>
      <c r="F37" s="9" t="s">
        <v>82</v>
      </c>
      <c r="G37" s="10">
        <v>6000</v>
      </c>
      <c r="H37" s="10">
        <v>3679.6</v>
      </c>
    </row>
    <row r="38" spans="2:8" x14ac:dyDescent="0.25">
      <c r="B38" s="9" t="s">
        <v>98</v>
      </c>
      <c r="C38" s="10">
        <v>2904.6000000000004</v>
      </c>
      <c r="D38" s="10">
        <v>5800</v>
      </c>
      <c r="F38" s="9" t="s">
        <v>83</v>
      </c>
      <c r="G38" s="10">
        <v>31400</v>
      </c>
      <c r="H38" s="10">
        <v>4703.0000000000018</v>
      </c>
    </row>
    <row r="39" spans="2:8" x14ac:dyDescent="0.25">
      <c r="B39" s="9" t="s">
        <v>96</v>
      </c>
      <c r="C39" s="10">
        <v>3049.7</v>
      </c>
      <c r="D39" s="10">
        <v>6000</v>
      </c>
      <c r="F39" s="9" t="s">
        <v>84</v>
      </c>
      <c r="G39" s="10">
        <v>10300</v>
      </c>
      <c r="H39" s="10">
        <v>5594.1</v>
      </c>
    </row>
    <row r="40" spans="2:8" x14ac:dyDescent="0.25">
      <c r="B40" s="9" t="s">
        <v>80</v>
      </c>
      <c r="C40" s="10">
        <v>3038.0000000000005</v>
      </c>
      <c r="D40" s="10">
        <v>7340</v>
      </c>
      <c r="F40" s="9" t="s">
        <v>85</v>
      </c>
      <c r="G40" s="10">
        <v>100</v>
      </c>
      <c r="H40" s="10">
        <v>3564.2999999999997</v>
      </c>
    </row>
    <row r="41" spans="2:8" x14ac:dyDescent="0.25">
      <c r="B41" s="9" t="s">
        <v>99</v>
      </c>
      <c r="C41" s="10">
        <v>3116.1</v>
      </c>
      <c r="D41" s="10">
        <v>6000</v>
      </c>
      <c r="F41" s="9" t="s">
        <v>86</v>
      </c>
      <c r="G41" s="10">
        <v>12340</v>
      </c>
      <c r="H41" s="10">
        <v>4158.2</v>
      </c>
    </row>
    <row r="42" spans="2:8" x14ac:dyDescent="0.25">
      <c r="B42" s="9" t="s">
        <v>100</v>
      </c>
      <c r="C42" s="10">
        <v>3005.7</v>
      </c>
      <c r="D42" s="10">
        <v>5100</v>
      </c>
      <c r="F42" s="9" t="s">
        <v>87</v>
      </c>
      <c r="G42" s="10">
        <v>5100</v>
      </c>
      <c r="H42" s="10">
        <v>5050.8</v>
      </c>
    </row>
    <row r="43" spans="2:8" x14ac:dyDescent="0.25">
      <c r="B43" s="9" t="s">
        <v>101</v>
      </c>
      <c r="C43" s="10">
        <v>3065</v>
      </c>
      <c r="D43" s="10">
        <v>5200</v>
      </c>
      <c r="F43" s="9" t="s">
        <v>88</v>
      </c>
      <c r="G43" s="10">
        <v>200</v>
      </c>
      <c r="H43" s="10">
        <v>3441.0000000000005</v>
      </c>
    </row>
    <row r="44" spans="2:8" x14ac:dyDescent="0.25">
      <c r="B44" s="9" t="s">
        <v>102</v>
      </c>
      <c r="C44" s="10">
        <v>2952.0999999999995</v>
      </c>
      <c r="D44" s="10">
        <v>5800</v>
      </c>
      <c r="F44" s="9" t="s">
        <v>77</v>
      </c>
      <c r="G44" s="10">
        <v>65440</v>
      </c>
      <c r="H44" s="10">
        <v>30191.000000000004</v>
      </c>
    </row>
    <row r="45" spans="2:8" x14ac:dyDescent="0.25">
      <c r="B45" s="9" t="s">
        <v>103</v>
      </c>
      <c r="C45" s="10">
        <v>3087.1</v>
      </c>
      <c r="D45" s="10">
        <v>5100</v>
      </c>
    </row>
    <row r="46" spans="2:8" x14ac:dyDescent="0.25">
      <c r="B46" s="9" t="s">
        <v>104</v>
      </c>
      <c r="C46" s="10">
        <v>3098.7</v>
      </c>
      <c r="D46" s="10">
        <v>5100</v>
      </c>
    </row>
    <row r="47" spans="2:8" x14ac:dyDescent="0.25">
      <c r="B47" s="9" t="s">
        <v>77</v>
      </c>
      <c r="C47" s="10">
        <v>30190.999999999996</v>
      </c>
      <c r="D47" s="10">
        <v>65440</v>
      </c>
    </row>
  </sheetData>
  <mergeCells count="8">
    <mergeCell ref="B23:C23"/>
    <mergeCell ref="B2:D2"/>
    <mergeCell ref="B35:D35"/>
    <mergeCell ref="F35:H35"/>
    <mergeCell ref="I2:J2"/>
    <mergeCell ref="I17:J17"/>
    <mergeCell ref="B13:C13"/>
    <mergeCell ref="F4:G4"/>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Dataset</vt:lpstr>
      <vt:lpstr>Dashboard</vt:lpstr>
      <vt:lpstr>Calculation</vt:lpstr>
      <vt:lpstr>Balance</vt:lpstr>
      <vt:lpstr>Cash_loan</vt:lpstr>
      <vt:lpstr>Clothes</vt:lpstr>
      <vt:lpstr>datawithdecision</vt:lpstr>
      <vt:lpstr>Entertainment</vt:lpstr>
      <vt:lpstr>Grand_Total</vt:lpstr>
      <vt:lpstr>Groceries</vt:lpstr>
      <vt:lpstr>Income</vt:lpstr>
      <vt:lpstr>Max_of_credit</vt:lpstr>
      <vt:lpstr>Max_of_debit</vt:lpstr>
      <vt:lpstr>Dashboard!Print_Area</vt:lpstr>
      <vt:lpstr>Rent</vt:lpstr>
      <vt:lpstr>Spending</vt:lpstr>
      <vt:lpstr>teachable</vt:lpstr>
      <vt:lpstr>youtube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2026-08-16T06:52:44Z</dcterms:created>
  <dcterms:modified xsi:type="dcterms:W3CDTF">2026-08-17T06:14:31Z</dcterms:modified>
</cp:coreProperties>
</file>